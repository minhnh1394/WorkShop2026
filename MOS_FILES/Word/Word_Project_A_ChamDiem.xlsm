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iigvietnamedu-my.sharepoint.com/personal/quan_dm_iigvietnam_edu_vn/Documents/Desktop/Demo_Test_Word_Project A/"/>
    </mc:Choice>
  </mc:AlternateContent>
  <xr:revisionPtr revIDLastSave="2894" documentId="8_{2B52019E-219D-4E2B-B52E-524660BD7D74}" xr6:coauthVersionLast="47" xr6:coauthVersionMax="47" xr10:uidLastSave="{8F954A4F-D69C-4C5D-98EA-5F193BD963F2}"/>
  <bookViews>
    <workbookView xWindow="-120" yWindow="-120" windowWidth="24240" windowHeight="13140" activeTab="1" xr2:uid="{609F238F-6264-4072-92DD-0226B04C9089}"/>
  </bookViews>
  <sheets>
    <sheet name="MENU" sheetId="1" r:id="rId1"/>
    <sheet name="PhieuDiem" sheetId="2" r:id="rId2"/>
    <sheet name="BangDiem" sheetId="4" state="hidden" r:id="rId3"/>
    <sheet name="ChamDiem" sheetId="3" state="hidden" r:id="rId4"/>
  </sheets>
  <functionGroups builtInGroupCount="19"/>
  <definedNames>
    <definedName name="_xleta.SINH" hidden="1" xlm="1">#NAME?</definedName>
    <definedName name="_xlnm.Print_Area" localSheetId="2">BangDiem!$A$1:$E$54</definedName>
    <definedName name="_xlnm.Print_Area" localSheetId="1">PhieuDiem!$A$1:$D$17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A5" i="2" l="1"/>
  <c r="N35" i="3"/>
  <c r="N36" i="3"/>
  <c r="N14" i="3"/>
  <c r="N16" i="3"/>
  <c r="N29" i="3"/>
  <c r="N28" i="3"/>
  <c r="D16" i="2" l="1"/>
  <c r="N22" i="3"/>
  <c r="N23" i="3"/>
  <c r="N21" i="3"/>
  <c r="D14" i="2" l="1"/>
  <c r="N7" i="3"/>
  <c r="N6" i="3"/>
  <c r="N9" i="3"/>
  <c r="N8" i="3"/>
  <c r="D12" i="2" l="1"/>
  <c r="N15" i="3"/>
  <c r="A4" i="2"/>
  <c r="C17" i="2"/>
  <c r="D15" i="2" l="1"/>
  <c r="D13" i="2"/>
  <c r="D17" i="2" l="1"/>
  <c r="A7" i="2" s="1"/>
</calcChain>
</file>

<file path=xl/sharedStrings.xml><?xml version="1.0" encoding="utf-8"?>
<sst xmlns="http://schemas.openxmlformats.org/spreadsheetml/2006/main" count="108" uniqueCount="69">
  <si>
    <t>Lưu phiếu điểm
(PDF)</t>
  </si>
  <si>
    <t xml:space="preserve">Tên file: </t>
  </si>
  <si>
    <t>Hướng dẫn</t>
  </si>
  <si>
    <t>Bước 1: Chọn trước folder lưu phiếu điểm</t>
  </si>
  <si>
    <t xml:space="preserve"> </t>
  </si>
  <si>
    <t>Bấm nút "Chọn Folder lưu"</t>
  </si>
  <si>
    <t>Duyệt tìm tới vị trí folder sử dụng để lưu phiếu điểm</t>
  </si>
  <si>
    <t>Bấm ok =&gt; Địa chỉ folder sẽ được ghi tại ô D3</t>
  </si>
  <si>
    <t>Bước 2: Thực hiện chấm điểm</t>
  </si>
  <si>
    <t>Bấm nút "Chấm điểm" =&gt; Mở ra cửa sổ duyệt tìm file</t>
  </si>
  <si>
    <t>Chọn các file cần chấm, có thể chọn nhiều file cùng lúc. Nếu muốn chọn tất cả các file trong thư mục thì nhấn Ctrl+A</t>
  </si>
  <si>
    <t>Chờ code chạy cho tới khi hoàn thành, hiện thông báo Done! (mỗi bài mất khoảng 3-5s để chấm - trong thời gian chấm không thực hiện bất cứ hành động nào khác)</t>
  </si>
  <si>
    <t>Kiểm tra lại kết quả trong folder lưu phiếu điểm</t>
  </si>
  <si>
    <t>Duyệt tìm tới nơi lưu các file Word - Bài làm cần chấm điểm</t>
  </si>
  <si>
    <t>PHIẾU CHẤM ĐIỂM</t>
  </si>
  <si>
    <t>Bảng điểm chi tiết</t>
  </si>
  <si>
    <t>STT</t>
  </si>
  <si>
    <t>Câu hỏi</t>
  </si>
  <si>
    <t>Điểm</t>
  </si>
  <si>
    <t>Đạt</t>
  </si>
  <si>
    <t>Tổng cộng</t>
  </si>
  <si>
    <t>Chấm điểm</t>
  </si>
  <si>
    <t>Câu 1</t>
  </si>
  <si>
    <t>Yêu cầu</t>
  </si>
  <si>
    <t>Kết quả kiểm tra</t>
  </si>
  <si>
    <t>Check</t>
  </si>
  <si>
    <t>Câu 2</t>
  </si>
  <si>
    <t>Nội dung</t>
  </si>
  <si>
    <t>Câu 3</t>
  </si>
  <si>
    <t>Câu 4</t>
  </si>
  <si>
    <t>Text</t>
  </si>
  <si>
    <t>Câu 5</t>
  </si>
  <si>
    <t>SOẠN THẢO VĂN BẢN - QUYẾT ĐỊNH</t>
  </si>
  <si>
    <t>HỌ TÊN</t>
  </si>
  <si>
    <t>CHỨC DANH</t>
  </si>
  <si>
    <t>ĐIỂM</t>
  </si>
  <si>
    <t>PHÒNG/BAN</t>
  </si>
  <si>
    <t>BẢNG ĐIỂM TỔNG</t>
  </si>
  <si>
    <t>TRẢI NGHIỆM MOS WORD – PROJECT A</t>
  </si>
  <si>
    <t>Margin</t>
  </si>
  <si>
    <t>Left</t>
  </si>
  <si>
    <t>Right</t>
  </si>
  <si>
    <t>Top</t>
  </si>
  <si>
    <t>Bottom</t>
  </si>
  <si>
    <t>About IIG Academy</t>
  </si>
  <si>
    <t>C:\Users\quan.dm\OneDrive - IIG Viet Nam\Desktop\Demo_Test_Word_Project A\Ket qua</t>
  </si>
  <si>
    <t>English Tests</t>
  </si>
  <si>
    <t>Bullet</t>
  </si>
  <si>
    <t>Type: Numbering</t>
  </si>
  <si>
    <t>Sequence: 2</t>
  </si>
  <si>
    <t>Bullet Number</t>
  </si>
  <si>
    <t>IIG Academy</t>
  </si>
  <si>
    <t>MOS Word 2019</t>
  </si>
  <si>
    <t>Category</t>
  </si>
  <si>
    <t>Title</t>
  </si>
  <si>
    <t>Page num</t>
  </si>
  <si>
    <t>Paragraph num</t>
  </si>
  <si>
    <t>Address</t>
  </si>
  <si>
    <t>Contact us: IIG Viet Nam</t>
  </si>
  <si>
    <t>Has Hyperlink</t>
  </si>
  <si>
    <t>https://iigvietnam.com/</t>
  </si>
  <si>
    <t>Nguyễn Văn A_Hà Nội</t>
  </si>
  <si>
    <t>Nguyễn Văn A</t>
  </si>
  <si>
    <t>Hà Nội</t>
  </si>
  <si>
    <r>
      <t xml:space="preserve">Đổi lề trang của toàn bộ tài liệu (đơn vị inch):
   • Lề trên và dưới: </t>
    </r>
    <r>
      <rPr>
        <b/>
        <sz val="14"/>
        <color theme="1"/>
        <rFont val="Times New Roman"/>
        <family val="1"/>
      </rPr>
      <t>0.8</t>
    </r>
    <r>
      <rPr>
        <sz val="14"/>
        <color theme="1"/>
        <rFont val="Times New Roman"/>
        <family val="1"/>
      </rPr>
      <t xml:space="preserve">
   • Lề trái và phải: </t>
    </r>
    <r>
      <rPr>
        <b/>
        <sz val="14"/>
        <color theme="1"/>
        <rFont val="Times New Roman"/>
        <family val="1"/>
      </rPr>
      <t>1</t>
    </r>
  </si>
  <si>
    <r>
      <t xml:space="preserve">Ngắt trang kiểu </t>
    </r>
    <r>
      <rPr>
        <b/>
        <sz val="14"/>
        <color theme="1"/>
        <rFont val="Times New Roman"/>
        <family val="1"/>
      </rPr>
      <t>Next Page</t>
    </r>
    <r>
      <rPr>
        <sz val="14"/>
        <color theme="1"/>
        <rFont val="Times New Roman"/>
        <family val="1"/>
      </rPr>
      <t xml:space="preserve"> vào trước tiêu đề “</t>
    </r>
    <r>
      <rPr>
        <b/>
        <sz val="14"/>
        <color theme="1"/>
        <rFont val="Times New Roman"/>
        <family val="1"/>
      </rPr>
      <t>About IIG Academy</t>
    </r>
    <r>
      <rPr>
        <sz val="14"/>
        <color theme="1"/>
        <rFont val="Times New Roman"/>
        <family val="1"/>
      </rPr>
      <t>”.</t>
    </r>
  </si>
  <si>
    <r>
      <t>Trong trang 1, đặt số thứ tự cho “</t>
    </r>
    <r>
      <rPr>
        <b/>
        <sz val="14"/>
        <color theme="1"/>
        <rFont val="Times New Roman"/>
        <family val="1"/>
      </rPr>
      <t>English Tests</t>
    </r>
    <r>
      <rPr>
        <sz val="14"/>
        <color theme="1"/>
        <rFont val="Times New Roman"/>
        <family val="1"/>
      </rPr>
      <t xml:space="preserve">” để tiếp tục với </t>
    </r>
    <r>
      <rPr>
        <b/>
        <sz val="14"/>
        <color theme="1"/>
        <rFont val="Times New Roman"/>
        <family val="1"/>
      </rPr>
      <t>số thứ tự là 2</t>
    </r>
  </si>
  <si>
    <r>
      <t>Trong phần thuộc tính (properties) của tệp hãy thêm các nội dung: 
   • “</t>
    </r>
    <r>
      <rPr>
        <b/>
        <sz val="14"/>
        <color theme="1"/>
        <rFont val="Times New Roman"/>
        <family val="1"/>
      </rPr>
      <t>IIG Academy</t>
    </r>
    <r>
      <rPr>
        <sz val="14"/>
        <color theme="1"/>
        <rFont val="Times New Roman"/>
        <family val="1"/>
      </rPr>
      <t>” vào danh mục (</t>
    </r>
    <r>
      <rPr>
        <b/>
        <sz val="14"/>
        <color theme="1"/>
        <rFont val="Times New Roman"/>
        <family val="1"/>
      </rPr>
      <t>category</t>
    </r>
    <r>
      <rPr>
        <sz val="14"/>
        <color theme="1"/>
        <rFont val="Times New Roman"/>
        <family val="1"/>
      </rPr>
      <t>) 
   • “</t>
    </r>
    <r>
      <rPr>
        <b/>
        <sz val="14"/>
        <color theme="1"/>
        <rFont val="Times New Roman"/>
        <family val="1"/>
      </rPr>
      <t>MOS Word 2019</t>
    </r>
    <r>
      <rPr>
        <sz val="14"/>
        <color theme="1"/>
        <rFont val="Times New Roman"/>
        <family val="1"/>
      </rPr>
      <t>” vào tiêu đề (</t>
    </r>
    <r>
      <rPr>
        <b/>
        <sz val="14"/>
        <color theme="1"/>
        <rFont val="Times New Roman"/>
        <family val="1"/>
      </rPr>
      <t>title</t>
    </r>
    <r>
      <rPr>
        <sz val="14"/>
        <color theme="1"/>
        <rFont val="Times New Roman"/>
        <family val="1"/>
      </rPr>
      <t>).</t>
    </r>
  </si>
  <si>
    <r>
      <t>Trong đoạn văn bản “</t>
    </r>
    <r>
      <rPr>
        <b/>
        <sz val="14"/>
        <color theme="1"/>
        <rFont val="Times New Roman"/>
        <family val="1"/>
      </rPr>
      <t>Contact us: IIG Viet Nam</t>
    </r>
    <r>
      <rPr>
        <sz val="14"/>
        <color theme="1"/>
        <rFont val="Times New Roman"/>
        <family val="1"/>
      </rPr>
      <t xml:space="preserve">” hãy tạo liên kết đến địa chỉ website: </t>
    </r>
    <r>
      <rPr>
        <b/>
        <sz val="14"/>
        <color theme="1"/>
        <rFont val="Times New Roman"/>
        <family val="1"/>
      </rPr>
      <t>https://iigvietnam.com/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</si>
</sst>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3" x14ac:knownFonts="1">
    <font>
      <sz val="11"/>
      <color theme="1"/>
      <name val="Times New Roman"/>
      <family val="2"/>
    </font>
    <font>
      <sz val="18"/>
      <color theme="3"/>
      <name val="Aptos Display"/>
      <family val="2"/>
      <scheme val="major"/>
    </font>
    <font>
      <b/>
      <sz val="13"/>
      <color theme="3"/>
      <name val="Times New Roman"/>
      <family val="2"/>
    </font>
    <font>
      <b/>
      <sz val="11"/>
      <color theme="1"/>
      <name val="Times New Roman"/>
      <family val="2"/>
    </font>
    <font>
      <b/>
      <sz val="18"/>
      <color theme="3"/>
      <name val="Times New Roman"/>
      <family val="1"/>
    </font>
    <font>
      <sz val="14"/>
      <color theme="1"/>
      <name val="Times New Roman"/>
      <family val="2"/>
    </font>
    <font>
      <sz val="14"/>
      <color rgb="FFFF0000"/>
      <name val="Times New Roman"/>
      <family val="2"/>
    </font>
    <font>
      <sz val="14"/>
      <name val="Times New Roman"/>
      <family val="1"/>
    </font>
    <font>
      <b/>
      <sz val="16"/>
      <color theme="3"/>
      <name val="Times New Roman"/>
      <family val="2"/>
    </font>
    <font>
      <sz val="11"/>
      <name val="Times New Roman"/>
      <family val="1"/>
    </font>
    <font>
      <b/>
      <sz val="14"/>
      <color theme="1"/>
      <name val="Times New Roman"/>
      <family val="1"/>
    </font>
    <font>
      <b/>
      <sz val="16"/>
      <color theme="1"/>
      <name val="Times New Roman"/>
      <family val="1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4"/>
      <color theme="1"/>
      <name val="Times New Roman"/>
      <family val="2"/>
    </font>
    <font>
      <b/>
      <sz val="18"/>
      <color theme="3"/>
      <name val="Times New Roman"/>
      <family val="2"/>
    </font>
    <font>
      <sz val="14"/>
      <color theme="6"/>
      <name val="Times New Roman"/>
      <family val="1"/>
    </font>
    <font>
      <sz val="14"/>
      <color theme="6"/>
      <name val="Times New Roman"/>
      <family val="2"/>
    </font>
    <font>
      <b/>
      <sz val="12"/>
      <color theme="0"/>
      <name val="Times New Roman"/>
      <family val="1"/>
    </font>
    <font>
      <b/>
      <sz val="16"/>
      <color theme="3"/>
      <name val="Times New Roman"/>
      <family val="1"/>
    </font>
    <font>
      <b/>
      <sz val="16"/>
      <color theme="1" tint="0.249977111117893"/>
      <name val="Times New Roman"/>
      <family val="1"/>
    </font>
    <font>
      <sz val="14"/>
      <color theme="1"/>
      <name val="Times New Roman"/>
      <family val="1"/>
    </font>
    <font>
      <b/>
      <sz val="12"/>
      <name val="Times New Roman"/>
      <family val="1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 tint="-0.499984740745262"/>
      </right>
      <top/>
      <bottom/>
      <diagonal/>
    </border>
    <border>
      <left style="thin">
        <color theme="0" tint="-0.499984740745262"/>
      </left>
      <right/>
      <top style="thin">
        <color theme="0" tint="-0.499984740745262"/>
      </top>
      <bottom style="thick">
        <color theme="0" tint="-0.499984740745262"/>
      </bottom>
      <diagonal/>
    </border>
    <border>
      <left/>
      <right style="thick">
        <color theme="0" tint="-0.499984740745262"/>
      </right>
      <top style="thin">
        <color theme="0" tint="-0.499984740745262"/>
      </top>
      <bottom style="thick">
        <color theme="0" tint="-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medium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/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theme="1" tint="0.34998626667073579"/>
      </left>
      <right style="thin">
        <color theme="1" tint="0.34998626667073579"/>
      </right>
      <top style="medium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 style="double">
        <color auto="1"/>
      </left>
      <right/>
      <top style="medium">
        <color auto="1"/>
      </top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medium">
        <color auto="1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0" fontId="2" fillId="0" borderId="1" applyNumberFormat="0" applyFill="0" applyAlignment="0" applyProtection="0"/>
    <xf numFmtId="0" fontId="3" fillId="0" borderId="2" applyNumberFormat="0" applyFill="0" applyAlignment="0" applyProtection="0"/>
  </cellStyleXfs>
  <cellXfs count="85">
    <xf numFmtId="0" fontId="0" fillId="0" borderId="0" xfId="0"/>
    <xf numFmtId="0" fontId="6" fillId="0" borderId="4" xfId="0" applyFont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5" fillId="0" borderId="0" xfId="0" applyFont="1" applyAlignment="1">
      <alignment horizontal="center" vertical="top"/>
    </xf>
    <xf numFmtId="0" fontId="7" fillId="0" borderId="0" xfId="0" applyFont="1" applyAlignment="1">
      <alignment vertical="top"/>
    </xf>
    <xf numFmtId="0" fontId="8" fillId="0" borderId="1" xfId="2" applyFont="1" applyAlignment="1">
      <alignment horizontal="left" vertical="top"/>
    </xf>
    <xf numFmtId="0" fontId="8" fillId="0" borderId="1" xfId="2" applyFont="1" applyAlignment="1">
      <alignment vertical="top"/>
    </xf>
    <xf numFmtId="0" fontId="9" fillId="0" borderId="0" xfId="0" applyFont="1" applyAlignment="1">
      <alignment vertical="top"/>
    </xf>
    <xf numFmtId="0" fontId="10" fillId="0" borderId="0" xfId="0" applyFont="1" applyAlignment="1">
      <alignment horizontal="left" vertical="top"/>
    </xf>
    <xf numFmtId="0" fontId="0" fillId="0" borderId="0" xfId="0" applyAlignment="1">
      <alignment vertical="top"/>
    </xf>
    <xf numFmtId="0" fontId="5" fillId="0" borderId="0" xfId="0" applyFont="1" applyAlignment="1">
      <alignment horizontal="left" vertical="top"/>
    </xf>
    <xf numFmtId="0" fontId="5" fillId="0" borderId="0" xfId="0" applyFont="1" applyAlignment="1">
      <alignment vertical="top"/>
    </xf>
    <xf numFmtId="0" fontId="0" fillId="0" borderId="0" xfId="0" applyAlignment="1">
      <alignment wrapText="1"/>
    </xf>
    <xf numFmtId="0" fontId="6" fillId="0" borderId="5" xfId="0" applyFont="1" applyBorder="1"/>
    <xf numFmtId="0" fontId="6" fillId="0" borderId="4" xfId="0" applyFont="1" applyBorder="1"/>
    <xf numFmtId="0" fontId="0" fillId="0" borderId="5" xfId="0" applyBorder="1"/>
    <xf numFmtId="0" fontId="5" fillId="0" borderId="0" xfId="0" applyFont="1"/>
    <xf numFmtId="0" fontId="10" fillId="0" borderId="6" xfId="0" applyFont="1" applyBorder="1" applyAlignment="1">
      <alignment horizontal="center"/>
    </xf>
    <xf numFmtId="0" fontId="5" fillId="0" borderId="7" xfId="0" applyFont="1" applyBorder="1" applyAlignment="1">
      <alignment vertical="center"/>
    </xf>
    <xf numFmtId="0" fontId="5" fillId="0" borderId="8" xfId="0" applyFont="1" applyBorder="1" applyAlignment="1">
      <alignment vertical="center"/>
    </xf>
    <xf numFmtId="0" fontId="14" fillId="0" borderId="9" xfId="3" applyFont="1" applyBorder="1" applyAlignment="1">
      <alignment vertical="center"/>
    </xf>
    <xf numFmtId="0" fontId="14" fillId="0" borderId="9" xfId="3" applyFont="1" applyBorder="1" applyAlignment="1">
      <alignment horizontal="center" vertical="center"/>
    </xf>
    <xf numFmtId="0" fontId="11" fillId="0" borderId="0" xfId="0" applyFont="1"/>
    <xf numFmtId="0" fontId="0" fillId="2" borderId="10" xfId="0" applyFill="1" applyBorder="1"/>
    <xf numFmtId="0" fontId="15" fillId="0" borderId="0" xfId="2" applyFont="1" applyBorder="1" applyAlignment="1">
      <alignment horizontal="left" indent="4"/>
    </xf>
    <xf numFmtId="0" fontId="0" fillId="3" borderId="13" xfId="0" applyFill="1" applyBorder="1"/>
    <xf numFmtId="0" fontId="0" fillId="3" borderId="14" xfId="0" applyFill="1" applyBorder="1"/>
    <xf numFmtId="0" fontId="10" fillId="0" borderId="15" xfId="0" applyFont="1" applyBorder="1"/>
    <xf numFmtId="0" fontId="0" fillId="0" borderId="15" xfId="0" applyBorder="1"/>
    <xf numFmtId="0" fontId="0" fillId="0" borderId="16" xfId="0" applyBorder="1"/>
    <xf numFmtId="0" fontId="10" fillId="4" borderId="17" xfId="0" applyFont="1" applyFill="1" applyBorder="1"/>
    <xf numFmtId="0" fontId="10" fillId="0" borderId="0" xfId="0" applyFont="1"/>
    <xf numFmtId="0" fontId="0" fillId="0" borderId="14" xfId="0" applyBorder="1"/>
    <xf numFmtId="0" fontId="10" fillId="5" borderId="17" xfId="0" applyFont="1" applyFill="1" applyBorder="1"/>
    <xf numFmtId="0" fontId="0" fillId="5" borderId="17" xfId="0" applyFill="1" applyBorder="1"/>
    <xf numFmtId="0" fontId="10" fillId="6" borderId="17" xfId="0" applyFont="1" applyFill="1" applyBorder="1"/>
    <xf numFmtId="0" fontId="7" fillId="0" borderId="10" xfId="0" applyFont="1" applyBorder="1" applyAlignment="1">
      <alignment horizontal="left"/>
    </xf>
    <xf numFmtId="0" fontId="16" fillId="0" borderId="0" xfId="0" applyFont="1" applyAlignment="1">
      <alignment horizontal="left"/>
    </xf>
    <xf numFmtId="0" fontId="17" fillId="0" borderId="10" xfId="0" applyFont="1" applyBorder="1"/>
    <xf numFmtId="0" fontId="13" fillId="0" borderId="0" xfId="0" applyFont="1"/>
    <xf numFmtId="0" fontId="16" fillId="0" borderId="11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2" xfId="0" applyFont="1" applyBorder="1" applyAlignment="1">
      <alignment horizontal="left"/>
    </xf>
    <xf numFmtId="0" fontId="7" fillId="0" borderId="10" xfId="0" applyFont="1" applyBorder="1" applyAlignment="1">
      <alignment vertical="center"/>
    </xf>
    <xf numFmtId="0" fontId="16" fillId="0" borderId="0" xfId="0" applyFont="1" applyAlignment="1">
      <alignment vertical="top" wrapText="1"/>
    </xf>
    <xf numFmtId="0" fontId="16" fillId="0" borderId="10" xfId="0" applyFont="1" applyBorder="1" applyAlignment="1">
      <alignment horizontal="left"/>
    </xf>
    <xf numFmtId="0" fontId="0" fillId="0" borderId="10" xfId="0" applyBorder="1"/>
    <xf numFmtId="0" fontId="10" fillId="0" borderId="0" xfId="0" applyFont="1" applyAlignment="1">
      <alignment horizontal="left"/>
    </xf>
    <xf numFmtId="0" fontId="18" fillId="7" borderId="21" xfId="0" applyFont="1" applyFill="1" applyBorder="1" applyAlignment="1">
      <alignment horizontal="center" vertical="center"/>
    </xf>
    <xf numFmtId="0" fontId="18" fillId="7" borderId="22" xfId="0" applyFont="1" applyFill="1" applyBorder="1" applyAlignment="1">
      <alignment horizontal="center" vertical="center"/>
    </xf>
    <xf numFmtId="0" fontId="18" fillId="7" borderId="23" xfId="0" applyFont="1" applyFill="1" applyBorder="1" applyAlignment="1">
      <alignment horizontal="center" vertical="center"/>
    </xf>
    <xf numFmtId="0" fontId="12" fillId="0" borderId="10" xfId="0" applyFont="1" applyBorder="1"/>
    <xf numFmtId="0" fontId="21" fillId="0" borderId="7" xfId="0" applyFont="1" applyBorder="1" applyAlignment="1">
      <alignment horizontal="center" vertical="center"/>
    </xf>
    <xf numFmtId="0" fontId="21" fillId="0" borderId="7" xfId="0" applyFont="1" applyBorder="1" applyAlignment="1">
      <alignment vertical="center" wrapText="1"/>
    </xf>
    <xf numFmtId="0" fontId="21" fillId="0" borderId="8" xfId="0" applyFont="1" applyBorder="1" applyAlignment="1">
      <alignment horizontal="center" vertical="center"/>
    </xf>
    <xf numFmtId="0" fontId="21" fillId="0" borderId="8" xfId="0" applyFont="1" applyBorder="1" applyAlignment="1">
      <alignment vertical="center" wrapText="1"/>
    </xf>
    <xf numFmtId="0" fontId="10" fillId="6" borderId="0" xfId="0" applyFont="1" applyFill="1"/>
    <xf numFmtId="0" fontId="7" fillId="0" borderId="0" xfId="0" applyFont="1" applyAlignment="1">
      <alignment vertical="center"/>
    </xf>
    <xf numFmtId="0" fontId="7" fillId="0" borderId="24" xfId="0" applyFont="1" applyBorder="1" applyAlignment="1">
      <alignment vertical="center"/>
    </xf>
    <xf numFmtId="0" fontId="16" fillId="0" borderId="24" xfId="0" applyFont="1" applyBorder="1" applyAlignment="1">
      <alignment vertical="top" wrapText="1"/>
    </xf>
    <xf numFmtId="0" fontId="0" fillId="0" borderId="24" xfId="0" applyBorder="1"/>
    <xf numFmtId="0" fontId="7" fillId="0" borderId="0" xfId="0" applyFont="1" applyAlignment="1">
      <alignment horizontal="left" indent="1"/>
    </xf>
    <xf numFmtId="0" fontId="17" fillId="0" borderId="0" xfId="0" applyFont="1"/>
    <xf numFmtId="0" fontId="7" fillId="0" borderId="0" xfId="0" applyFont="1" applyAlignment="1">
      <alignment horizontal="left"/>
    </xf>
    <xf numFmtId="16" fontId="16" fillId="0" borderId="0" xfId="0" quotePrefix="1" applyNumberFormat="1" applyFont="1" applyAlignment="1">
      <alignment horizontal="left"/>
    </xf>
    <xf numFmtId="0" fontId="17" fillId="0" borderId="24" xfId="0" applyFont="1" applyBorder="1"/>
    <xf numFmtId="0" fontId="22" fillId="0" borderId="0" xfId="0" applyFont="1"/>
    <xf numFmtId="0" fontId="7" fillId="0" borderId="18" xfId="0" applyFont="1" applyBorder="1" applyAlignment="1">
      <alignment horizontal="left"/>
    </xf>
    <xf numFmtId="0" fontId="7" fillId="0" borderId="12" xfId="0" applyFont="1" applyBorder="1" applyAlignment="1">
      <alignment horizontal="left"/>
    </xf>
    <xf numFmtId="0" fontId="7" fillId="0" borderId="10" xfId="0" applyFont="1" applyBorder="1"/>
    <xf numFmtId="0" fontId="10" fillId="0" borderId="19" xfId="0" applyFont="1" applyBorder="1"/>
    <xf numFmtId="0" fontId="16" fillId="0" borderId="20" xfId="0" applyFont="1" applyBorder="1" applyAlignment="1">
      <alignment horizontal="left"/>
    </xf>
    <xf numFmtId="0" fontId="4" fillId="0" borderId="0" xfId="1" applyFont="1" applyAlignment="1">
      <alignment horizontal="center" vertical="center"/>
    </xf>
    <xf numFmtId="0" fontId="5" fillId="0" borderId="0" xfId="0" applyFont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0" xfId="0" applyFont="1" applyAlignment="1">
      <alignment horizontal="left"/>
    </xf>
    <xf numFmtId="0" fontId="5" fillId="0" borderId="3" xfId="0" applyFont="1" applyBorder="1" applyAlignment="1">
      <alignment horizontal="left"/>
    </xf>
    <xf numFmtId="0" fontId="20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6" fillId="0" borderId="11" xfId="0" applyFont="1" applyBorder="1" applyAlignment="1">
      <alignment horizontal="left"/>
    </xf>
    <xf numFmtId="0" fontId="16" fillId="0" borderId="18" xfId="0" applyFont="1" applyBorder="1" applyAlignment="1">
      <alignment horizontal="left"/>
    </xf>
    <xf numFmtId="0" fontId="16" fillId="0" borderId="12" xfId="0" applyFont="1" applyBorder="1" applyAlignment="1">
      <alignment horizontal="left"/>
    </xf>
    <xf numFmtId="0" fontId="0" fillId="0" borderId="18" xfId="0" applyBorder="1" applyAlignment="1">
      <alignment horizontal="left"/>
    </xf>
    <xf numFmtId="0" fontId="0" fillId="0" borderId="12" xfId="0" applyBorder="1" applyAlignment="1">
      <alignment horizontal="left"/>
    </xf>
  </cellXfs>
  <cellStyles count="4">
    <cellStyle name="Heading 2" xfId="2" builtinId="17"/>
    <cellStyle name="Normal" xfId="0" builtinId="0"/>
    <cellStyle name="Title" xfId="1" builtinId="15"/>
    <cellStyle name="Total" xfId="3" builtinId="2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904875</xdr:colOff>
      <xdr:row>1</xdr:row>
      <xdr:rowOff>66675</xdr:rowOff>
    </xdr:from>
    <xdr:to>
      <xdr:col>3</xdr:col>
      <xdr:colOff>1610475</xdr:colOff>
      <xdr:row>1</xdr:row>
      <xdr:rowOff>498675</xdr:rowOff>
    </xdr:to>
    <xdr:sp macro="[0]!Chon_Folder_Luu_PDF" textlink="">
      <xdr:nvSpPr>
        <xdr:cNvPr id="2" name="Rectangle 1">
          <a:extLst>
            <a:ext uri="{FF2B5EF4-FFF2-40B4-BE49-F238E27FC236}">
              <a16:creationId xmlns:a16="http://schemas.microsoft.com/office/drawing/2014/main" id="{F4E8E335-F381-461F-BFC2-FE0C90E229F5}"/>
            </a:ext>
          </a:extLst>
        </xdr:cNvPr>
        <xdr:cNvSpPr>
          <a:spLocks/>
        </xdr:cNvSpPr>
      </xdr:nvSpPr>
      <xdr:spPr>
        <a:xfrm>
          <a:off x="1419225" y="447675"/>
          <a:ext cx="1620000" cy="432000"/>
        </a:xfrm>
        <a:prstGeom prst="rect">
          <a:avLst/>
        </a:prstGeom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Chọn Folder l</a:t>
          </a:r>
          <a:r>
            <a:rPr lang="vi-VN" sz="1600">
              <a:latin typeface="Times New Roman" panose="02020603050405020304" pitchFamily="18" charset="0"/>
              <a:cs typeface="Times New Roman" panose="02020603050405020304" pitchFamily="18" charset="0"/>
            </a:rPr>
            <a:t>ư</a:t>
          </a:r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u</a:t>
          </a:r>
        </a:p>
      </xdr:txBody>
    </xdr:sp>
    <xdr:clientData/>
  </xdr:twoCellAnchor>
  <xdr:twoCellAnchor editAs="absolute">
    <xdr:from>
      <xdr:col>3</xdr:col>
      <xdr:colOff>2114550</xdr:colOff>
      <xdr:row>1</xdr:row>
      <xdr:rowOff>66675</xdr:rowOff>
    </xdr:from>
    <xdr:to>
      <xdr:col>3</xdr:col>
      <xdr:colOff>3505202</xdr:colOff>
      <xdr:row>1</xdr:row>
      <xdr:rowOff>498675</xdr:rowOff>
    </xdr:to>
    <xdr:sp macro="[0]!TongHop_ChamDiem" textlink="">
      <xdr:nvSpPr>
        <xdr:cNvPr id="3" name="Rectangle 2">
          <a:extLst>
            <a:ext uri="{FF2B5EF4-FFF2-40B4-BE49-F238E27FC236}">
              <a16:creationId xmlns:a16="http://schemas.microsoft.com/office/drawing/2014/main" id="{08BA3213-7A51-4875-A611-410F55E1A594}"/>
            </a:ext>
          </a:extLst>
        </xdr:cNvPr>
        <xdr:cNvSpPr>
          <a:spLocks/>
        </xdr:cNvSpPr>
      </xdr:nvSpPr>
      <xdr:spPr>
        <a:xfrm>
          <a:off x="3543300" y="447675"/>
          <a:ext cx="1390652" cy="432000"/>
        </a:xfrm>
        <a:prstGeom prst="rect">
          <a:avLst/>
        </a:prstGeom>
        <a:solidFill>
          <a:schemeClr val="accent2"/>
        </a:solidFill>
        <a:ln>
          <a:noFill/>
        </a:ln>
      </xdr:spPr>
      <xdr:style>
        <a:lnRef idx="1">
          <a:schemeClr val="accent4"/>
        </a:lnRef>
        <a:fillRef idx="3">
          <a:schemeClr val="accent4"/>
        </a:fillRef>
        <a:effectRef idx="2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>
              <a:latin typeface="Times New Roman" panose="02020603050405020304" pitchFamily="18" charset="0"/>
              <a:cs typeface="Times New Roman" panose="02020603050405020304" pitchFamily="18" charset="0"/>
            </a:rPr>
            <a:t>Chấm điểm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57151</xdr:colOff>
      <xdr:row>0</xdr:row>
      <xdr:rowOff>76200</xdr:rowOff>
    </xdr:from>
    <xdr:to>
      <xdr:col>1</xdr:col>
      <xdr:colOff>295316</xdr:colOff>
      <xdr:row>1</xdr:row>
      <xdr:rowOff>275400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8438504B-9F17-86F3-5652-5A05A31252D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7151" y="76200"/>
          <a:ext cx="733465" cy="504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A28D7-DD4F-465F-9588-61AA0AB7051D}">
  <sheetPr codeName="Sheet1"/>
  <dimension ref="A1:G18"/>
  <sheetViews>
    <sheetView showGridLines="0" workbookViewId="0">
      <selection activeCell="D11" sqref="D11"/>
    </sheetView>
  </sheetViews>
  <sheetFormatPr defaultRowHeight="15" x14ac:dyDescent="0.25"/>
  <cols>
    <col min="1" max="1" width="2.140625" customWidth="1"/>
    <col min="2" max="2" width="5.5703125" customWidth="1"/>
    <col min="3" max="3" width="13.7109375" customWidth="1"/>
    <col min="4" max="4" width="85.140625" customWidth="1"/>
    <col min="5" max="5" width="1.7109375" customWidth="1"/>
    <col min="6" max="6" width="83.140625" customWidth="1"/>
  </cols>
  <sheetData>
    <row r="1" spans="1:7" ht="30" customHeight="1" x14ac:dyDescent="0.25">
      <c r="A1" s="72" t="s">
        <v>38</v>
      </c>
      <c r="B1" s="72"/>
      <c r="C1" s="72"/>
      <c r="D1" s="72"/>
      <c r="E1" s="72"/>
    </row>
    <row r="2" spans="1:7" ht="50.1" customHeight="1" x14ac:dyDescent="0.25"/>
    <row r="3" spans="1:7" ht="39.950000000000003" customHeight="1" thickBot="1" x14ac:dyDescent="0.35">
      <c r="B3" s="73" t="s">
        <v>0</v>
      </c>
      <c r="C3" s="74"/>
      <c r="D3" s="1" t="s">
        <v>45</v>
      </c>
      <c r="E3" s="13"/>
      <c r="F3" s="12"/>
    </row>
    <row r="4" spans="1:7" ht="15.75" thickTop="1" x14ac:dyDescent="0.25">
      <c r="B4" s="2"/>
      <c r="C4" s="2"/>
    </row>
    <row r="5" spans="1:7" ht="19.5" thickBot="1" x14ac:dyDescent="0.35">
      <c r="B5" s="75" t="s">
        <v>1</v>
      </c>
      <c r="C5" s="76"/>
      <c r="D5" s="14" t="s">
        <v>61</v>
      </c>
      <c r="E5" s="15"/>
    </row>
    <row r="6" spans="1:7" ht="15.75" thickTop="1" x14ac:dyDescent="0.25"/>
    <row r="7" spans="1:7" ht="18.75" x14ac:dyDescent="0.25">
      <c r="B7" s="3"/>
      <c r="C7" s="4"/>
      <c r="D7" s="4"/>
      <c r="E7" s="3"/>
    </row>
    <row r="8" spans="1:7" ht="21" thickBot="1" x14ac:dyDescent="0.3">
      <c r="B8" s="5" t="s">
        <v>2</v>
      </c>
      <c r="C8" s="6"/>
      <c r="D8" s="7"/>
      <c r="E8" s="3"/>
    </row>
    <row r="9" spans="1:7" ht="19.5" thickTop="1" x14ac:dyDescent="0.25">
      <c r="B9" s="8" t="s">
        <v>3</v>
      </c>
      <c r="C9" s="11"/>
      <c r="D9" s="9"/>
      <c r="E9" s="3"/>
      <c r="G9" t="s">
        <v>4</v>
      </c>
    </row>
    <row r="10" spans="1:7" ht="18.75" x14ac:dyDescent="0.25">
      <c r="B10" s="10"/>
      <c r="C10" s="11" t="s">
        <v>5</v>
      </c>
      <c r="D10" s="9"/>
      <c r="E10" s="3"/>
    </row>
    <row r="11" spans="1:7" ht="18.75" x14ac:dyDescent="0.25">
      <c r="B11" s="10"/>
      <c r="C11" s="11" t="s">
        <v>6</v>
      </c>
      <c r="D11" s="9"/>
      <c r="E11" s="3"/>
    </row>
    <row r="12" spans="1:7" ht="18.75" x14ac:dyDescent="0.25">
      <c r="B12" s="10"/>
      <c r="C12" s="11" t="s">
        <v>7</v>
      </c>
      <c r="D12" s="9"/>
      <c r="E12" s="3"/>
    </row>
    <row r="13" spans="1:7" ht="18.75" x14ac:dyDescent="0.25">
      <c r="B13" s="8" t="s">
        <v>8</v>
      </c>
      <c r="C13" s="11"/>
      <c r="D13" s="9"/>
      <c r="E13" s="3"/>
    </row>
    <row r="14" spans="1:7" ht="18.75" x14ac:dyDescent="0.25">
      <c r="B14" s="10"/>
      <c r="C14" s="11" t="s">
        <v>9</v>
      </c>
      <c r="D14" s="9"/>
      <c r="E14" s="3"/>
    </row>
    <row r="15" spans="1:7" ht="18.75" x14ac:dyDescent="0.25">
      <c r="B15" s="10"/>
      <c r="C15" s="11" t="s">
        <v>13</v>
      </c>
      <c r="D15" s="9"/>
      <c r="E15" s="3"/>
    </row>
    <row r="16" spans="1:7" ht="18.75" x14ac:dyDescent="0.25">
      <c r="B16" s="10"/>
      <c r="C16" s="11" t="s">
        <v>10</v>
      </c>
      <c r="D16" s="9"/>
      <c r="E16" s="3"/>
    </row>
    <row r="17" spans="2:5" ht="18.75" x14ac:dyDescent="0.25">
      <c r="B17" s="10"/>
      <c r="C17" s="11" t="s">
        <v>11</v>
      </c>
      <c r="D17" s="9"/>
      <c r="E17" s="3"/>
    </row>
    <row r="18" spans="2:5" ht="18.75" x14ac:dyDescent="0.25">
      <c r="B18" s="10"/>
      <c r="C18" s="11" t="s">
        <v>12</v>
      </c>
      <c r="D18" s="9"/>
      <c r="E18" s="3"/>
    </row>
  </sheetData>
  <mergeCells count="3">
    <mergeCell ref="A1:E1"/>
    <mergeCell ref="B3:C3"/>
    <mergeCell ref="B5:C5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ADD5E1-F406-44DF-8638-DD74A61B1724}">
  <sheetPr codeName="Sheet2">
    <pageSetUpPr fitToPage="1"/>
  </sheetPr>
  <dimension ref="A1:H17"/>
  <sheetViews>
    <sheetView showGridLines="0" tabSelected="1" workbookViewId="0">
      <selection activeCell="I16" sqref="I16"/>
    </sheetView>
  </sheetViews>
  <sheetFormatPr defaultRowHeight="15" x14ac:dyDescent="0.25"/>
  <cols>
    <col min="1" max="1" width="7.42578125" customWidth="1"/>
    <col min="2" max="2" width="62.28515625" customWidth="1"/>
    <col min="3" max="3" width="9.28515625" customWidth="1"/>
    <col min="4" max="4" width="9.42578125" customWidth="1"/>
    <col min="8" max="8" width="9.140625" hidden="1" customWidth="1"/>
  </cols>
  <sheetData>
    <row r="1" spans="1:8" ht="24" customHeight="1" x14ac:dyDescent="0.25">
      <c r="A1" s="77" t="s">
        <v>14</v>
      </c>
      <c r="B1" s="77"/>
      <c r="C1" s="77"/>
      <c r="D1" s="77"/>
    </row>
    <row r="2" spans="1:8" ht="24" customHeight="1" x14ac:dyDescent="0.25">
      <c r="A2" s="78" t="s">
        <v>38</v>
      </c>
      <c r="B2" s="78"/>
      <c r="C2" s="78"/>
      <c r="D2" s="78"/>
    </row>
    <row r="3" spans="1:8" ht="9.9499999999999993" customHeight="1" x14ac:dyDescent="0.3">
      <c r="A3" s="16"/>
      <c r="B3" s="16"/>
      <c r="C3" s="16"/>
      <c r="D3" s="16"/>
    </row>
    <row r="4" spans="1:8" ht="20.100000000000001" customHeight="1" x14ac:dyDescent="0.3">
      <c r="A4" s="16" t="str">
        <f>"Họ tên: "&amp;H4</f>
        <v>Họ tên: Nguyễn Văn A</v>
      </c>
      <c r="B4" s="16"/>
      <c r="C4" s="16"/>
      <c r="D4" s="16"/>
      <c r="H4" s="23" t="s">
        <v>62</v>
      </c>
    </row>
    <row r="5" spans="1:8" ht="20.100000000000001" customHeight="1" x14ac:dyDescent="0.3">
      <c r="A5" s="16" t="str">
        <f>"Địa chỉ: "&amp;H5</f>
        <v>Địa chỉ: Hà Nội</v>
      </c>
      <c r="B5" s="16"/>
      <c r="C5" s="16"/>
      <c r="D5" s="16"/>
      <c r="H5" s="23" t="s">
        <v>63</v>
      </c>
    </row>
    <row r="6" spans="1:8" ht="5.0999999999999996" customHeight="1" x14ac:dyDescent="0.3">
      <c r="A6" s="16"/>
      <c r="B6" s="16"/>
      <c r="C6" s="16"/>
      <c r="D6" s="16"/>
      <c r="H6" s="23"/>
    </row>
    <row r="7" spans="1:8" ht="20.100000000000001" customHeight="1" x14ac:dyDescent="0.3">
      <c r="A7" s="31" t="str">
        <f>"Tổng điểm: "&amp;D17</f>
        <v>Tổng điểm: 1000</v>
      </c>
      <c r="B7" s="16"/>
      <c r="C7" s="16"/>
      <c r="D7" s="16"/>
    </row>
    <row r="8" spans="1:8" ht="3" customHeight="1" x14ac:dyDescent="0.3">
      <c r="A8" s="16"/>
      <c r="B8" s="16"/>
      <c r="C8" s="16"/>
      <c r="D8" s="16"/>
      <c r="H8" s="23"/>
    </row>
    <row r="9" spans="1:8" ht="3" customHeight="1" x14ac:dyDescent="0.3">
      <c r="A9" s="16"/>
      <c r="B9" s="16"/>
      <c r="C9" s="16"/>
      <c r="D9" s="16"/>
    </row>
    <row r="10" spans="1:8" ht="24" customHeight="1" x14ac:dyDescent="0.3">
      <c r="A10" s="22" t="s">
        <v>15</v>
      </c>
      <c r="B10" s="16"/>
      <c r="C10" s="16"/>
      <c r="D10" s="16"/>
    </row>
    <row r="11" spans="1:8" ht="21.95" customHeight="1" thickBot="1" x14ac:dyDescent="0.35">
      <c r="A11" s="17" t="s">
        <v>16</v>
      </c>
      <c r="B11" s="17" t="s">
        <v>17</v>
      </c>
      <c r="C11" s="17" t="s">
        <v>18</v>
      </c>
      <c r="D11" s="17" t="s">
        <v>19</v>
      </c>
    </row>
    <row r="12" spans="1:8" ht="67.5" customHeight="1" x14ac:dyDescent="0.25">
      <c r="A12" s="52">
        <v>1</v>
      </c>
      <c r="B12" s="53" t="s">
        <v>64</v>
      </c>
      <c r="C12" s="18">
        <v>200</v>
      </c>
      <c r="D12" s="18">
        <f>IF(COUNTIF(ChamDiem!N6:P10,TRUE)=COUNTA(ChamDiem!N6:P10), PhieuDiem!C12, 0)</f>
        <v>200</v>
      </c>
    </row>
    <row r="13" spans="1:8" ht="58.5" customHeight="1" x14ac:dyDescent="0.25">
      <c r="A13" s="54">
        <v>2</v>
      </c>
      <c r="B13" s="55" t="s">
        <v>65</v>
      </c>
      <c r="C13" s="18">
        <v>200</v>
      </c>
      <c r="D13" s="19">
        <f>IF(COUNTIF(ChamDiem!N14:P17,TRUE)=COUNTA(ChamDiem!N14:P17), PhieuDiem!C13, 0)</f>
        <v>200</v>
      </c>
    </row>
    <row r="14" spans="1:8" ht="58.5" customHeight="1" x14ac:dyDescent="0.25">
      <c r="A14" s="54">
        <v>3</v>
      </c>
      <c r="B14" s="55" t="s">
        <v>66</v>
      </c>
      <c r="C14" s="18">
        <v>200</v>
      </c>
      <c r="D14" s="19">
        <f>IF(COUNTIF(ChamDiem!N21:P23,TRUE)=COUNTA(ChamDiem!N21:P23), C14, 0)</f>
        <v>200</v>
      </c>
    </row>
    <row r="15" spans="1:8" ht="87.75" customHeight="1" x14ac:dyDescent="0.25">
      <c r="A15" s="54">
        <v>4</v>
      </c>
      <c r="B15" s="55" t="s">
        <v>67</v>
      </c>
      <c r="C15" s="18">
        <v>200</v>
      </c>
      <c r="D15" s="19">
        <f>IF(COUNTIF(ChamDiem!N28:P31,TRUE)=COUNTA(ChamDiem!N28:P31), C15, 0)</f>
        <v>200</v>
      </c>
    </row>
    <row r="16" spans="1:8" ht="54" customHeight="1" thickBot="1" x14ac:dyDescent="0.3">
      <c r="A16" s="54">
        <v>5</v>
      </c>
      <c r="B16" s="55" t="s">
        <v>68</v>
      </c>
      <c r="C16" s="18">
        <v>200</v>
      </c>
      <c r="D16" s="19">
        <f>IF(COUNTIF(ChamDiem!N35:P38, TRUE)=COUNTA(ChamDiem!N35:P38),PhieuDiem!C16,0)</f>
        <v>200</v>
      </c>
    </row>
    <row r="17" spans="1:4" ht="29.25" customHeight="1" x14ac:dyDescent="0.25">
      <c r="A17" s="20"/>
      <c r="B17" s="21" t="s">
        <v>20</v>
      </c>
      <c r="C17" s="20">
        <f>SUM(C12:C16)</f>
        <v>1000</v>
      </c>
      <c r="D17" s="20">
        <f>SUM(D12:D16)</f>
        <v>1000</v>
      </c>
    </row>
  </sheetData>
  <mergeCells count="2">
    <mergeCell ref="A1:D1"/>
    <mergeCell ref="A2:D2"/>
  </mergeCells>
  <pageMargins left="0.70866141732283472" right="0.70866141732283472" top="0.74803149606299213" bottom="0.74803149606299213" header="0.31496062992125984" footer="0.31496062992125984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B90DD-6DE7-443F-82A9-7454820806C1}">
  <sheetPr codeName="Sheet4">
    <pageSetUpPr fitToPage="1"/>
  </sheetPr>
  <dimension ref="A1:E54"/>
  <sheetViews>
    <sheetView showGridLines="0" workbookViewId="0">
      <selection activeCell="K59" sqref="K59"/>
    </sheetView>
  </sheetViews>
  <sheetFormatPr defaultRowHeight="15" x14ac:dyDescent="0.25"/>
  <cols>
    <col min="1" max="1" width="5.5703125" customWidth="1"/>
    <col min="2" max="2" width="23.7109375" customWidth="1"/>
    <col min="3" max="3" width="25.7109375" customWidth="1"/>
    <col min="4" max="4" width="23.140625" customWidth="1"/>
    <col min="5" max="5" width="10" customWidth="1"/>
  </cols>
  <sheetData>
    <row r="1" spans="1:5" ht="24" customHeight="1" x14ac:dyDescent="0.25">
      <c r="A1" s="79" t="s">
        <v>37</v>
      </c>
      <c r="B1" s="79"/>
      <c r="C1" s="79"/>
      <c r="D1" s="79"/>
      <c r="E1" s="79"/>
    </row>
    <row r="2" spans="1:5" ht="24" customHeight="1" x14ac:dyDescent="0.25">
      <c r="A2" s="79" t="s">
        <v>32</v>
      </c>
      <c r="B2" s="79"/>
      <c r="C2" s="79"/>
      <c r="D2" s="79"/>
      <c r="E2" s="79"/>
    </row>
    <row r="3" spans="1:5" ht="5.0999999999999996" customHeight="1" x14ac:dyDescent="0.25"/>
    <row r="4" spans="1:5" ht="20.100000000000001" customHeight="1" x14ac:dyDescent="0.25">
      <c r="A4" s="48" t="s">
        <v>16</v>
      </c>
      <c r="B4" s="49" t="s">
        <v>33</v>
      </c>
      <c r="C4" s="49" t="s">
        <v>36</v>
      </c>
      <c r="D4" s="49" t="s">
        <v>34</v>
      </c>
      <c r="E4" s="50" t="s">
        <v>35</v>
      </c>
    </row>
    <row r="5" spans="1:5" ht="15.75" x14ac:dyDescent="0.25">
      <c r="A5" s="51">
        <v>1</v>
      </c>
      <c r="B5" s="51" t="s">
        <v>62</v>
      </c>
      <c r="C5" s="51" t="s">
        <v>63</v>
      </c>
      <c r="D5" s="51"/>
      <c r="E5" s="51"/>
    </row>
    <row r="6" spans="1:5" ht="15.75" x14ac:dyDescent="0.25">
      <c r="A6" s="51">
        <v>2</v>
      </c>
      <c r="B6" s="51"/>
      <c r="C6" s="51"/>
      <c r="D6" s="51"/>
      <c r="E6" s="51"/>
    </row>
    <row r="7" spans="1:5" ht="15.75" x14ac:dyDescent="0.25">
      <c r="A7" s="51">
        <v>3</v>
      </c>
      <c r="B7" s="51"/>
      <c r="C7" s="51"/>
      <c r="D7" s="51"/>
      <c r="E7" s="51"/>
    </row>
    <row r="8" spans="1:5" ht="15.75" x14ac:dyDescent="0.25">
      <c r="A8" s="51">
        <v>4</v>
      </c>
      <c r="B8" s="51"/>
      <c r="C8" s="51"/>
      <c r="D8" s="51"/>
      <c r="E8" s="51"/>
    </row>
    <row r="9" spans="1:5" ht="15.75" x14ac:dyDescent="0.25">
      <c r="A9" s="51">
        <v>5</v>
      </c>
      <c r="B9" s="51"/>
      <c r="C9" s="51"/>
      <c r="D9" s="51"/>
      <c r="E9" s="51"/>
    </row>
    <row r="10" spans="1:5" ht="15.75" x14ac:dyDescent="0.25">
      <c r="A10" s="51">
        <v>6</v>
      </c>
      <c r="B10" s="51"/>
      <c r="C10" s="51"/>
      <c r="D10" s="51"/>
      <c r="E10" s="51"/>
    </row>
    <row r="11" spans="1:5" ht="15.75" x14ac:dyDescent="0.25">
      <c r="A11" s="51">
        <v>7</v>
      </c>
      <c r="B11" s="51"/>
      <c r="C11" s="51"/>
      <c r="D11" s="51"/>
      <c r="E11" s="51"/>
    </row>
    <row r="12" spans="1:5" ht="15.75" x14ac:dyDescent="0.25">
      <c r="A12" s="51">
        <v>8</v>
      </c>
      <c r="B12" s="51"/>
      <c r="C12" s="51"/>
      <c r="D12" s="51"/>
      <c r="E12" s="51"/>
    </row>
    <row r="13" spans="1:5" ht="15.75" x14ac:dyDescent="0.25">
      <c r="A13" s="51">
        <v>9</v>
      </c>
      <c r="B13" s="51"/>
      <c r="C13" s="51"/>
      <c r="D13" s="51"/>
      <c r="E13" s="51"/>
    </row>
    <row r="14" spans="1:5" ht="15.75" x14ac:dyDescent="0.25">
      <c r="A14" s="51">
        <v>10</v>
      </c>
      <c r="B14" s="51"/>
      <c r="C14" s="51"/>
      <c r="D14" s="51"/>
      <c r="E14" s="51"/>
    </row>
    <row r="15" spans="1:5" ht="15.75" x14ac:dyDescent="0.25">
      <c r="A15" s="51">
        <v>11</v>
      </c>
      <c r="B15" s="51"/>
      <c r="C15" s="51"/>
      <c r="D15" s="51"/>
      <c r="E15" s="51"/>
    </row>
    <row r="16" spans="1:5" ht="15.75" x14ac:dyDescent="0.25">
      <c r="A16" s="51">
        <v>12</v>
      </c>
      <c r="B16" s="51"/>
      <c r="C16" s="51"/>
      <c r="D16" s="51"/>
      <c r="E16" s="51"/>
    </row>
    <row r="17" spans="1:5" ht="15.75" x14ac:dyDescent="0.25">
      <c r="A17" s="51">
        <v>13</v>
      </c>
      <c r="B17" s="51"/>
      <c r="C17" s="51"/>
      <c r="D17" s="51"/>
      <c r="E17" s="51"/>
    </row>
    <row r="18" spans="1:5" ht="15.75" x14ac:dyDescent="0.25">
      <c r="A18" s="51">
        <v>14</v>
      </c>
      <c r="B18" s="51"/>
      <c r="C18" s="51"/>
      <c r="D18" s="51"/>
      <c r="E18" s="51"/>
    </row>
    <row r="19" spans="1:5" ht="15.75" x14ac:dyDescent="0.25">
      <c r="A19" s="51">
        <v>15</v>
      </c>
      <c r="B19" s="51"/>
      <c r="C19" s="51"/>
      <c r="D19" s="51"/>
      <c r="E19" s="51"/>
    </row>
    <row r="20" spans="1:5" ht="15.75" x14ac:dyDescent="0.25">
      <c r="A20" s="51">
        <v>16</v>
      </c>
      <c r="B20" s="51"/>
      <c r="C20" s="51"/>
      <c r="D20" s="51"/>
      <c r="E20" s="51"/>
    </row>
    <row r="21" spans="1:5" ht="15.75" x14ac:dyDescent="0.25">
      <c r="A21" s="51">
        <v>17</v>
      </c>
      <c r="B21" s="51"/>
      <c r="C21" s="51"/>
      <c r="D21" s="51"/>
      <c r="E21" s="51"/>
    </row>
    <row r="22" spans="1:5" ht="15.75" x14ac:dyDescent="0.25">
      <c r="A22" s="51">
        <v>18</v>
      </c>
      <c r="B22" s="51"/>
      <c r="C22" s="51"/>
      <c r="D22" s="51"/>
      <c r="E22" s="51"/>
    </row>
    <row r="23" spans="1:5" ht="15.75" x14ac:dyDescent="0.25">
      <c r="A23" s="51">
        <v>19</v>
      </c>
      <c r="B23" s="51"/>
      <c r="C23" s="51"/>
      <c r="D23" s="51"/>
      <c r="E23" s="51"/>
    </row>
    <row r="24" spans="1:5" ht="15.75" x14ac:dyDescent="0.25">
      <c r="A24" s="51">
        <v>20</v>
      </c>
      <c r="B24" s="51"/>
      <c r="C24" s="51"/>
      <c r="D24" s="51"/>
      <c r="E24" s="51"/>
    </row>
    <row r="25" spans="1:5" ht="15.75" x14ac:dyDescent="0.25">
      <c r="A25" s="51">
        <v>21</v>
      </c>
      <c r="B25" s="51"/>
      <c r="C25" s="51"/>
      <c r="D25" s="51"/>
      <c r="E25" s="51"/>
    </row>
    <row r="26" spans="1:5" ht="15.75" x14ac:dyDescent="0.25">
      <c r="A26" s="51">
        <v>22</v>
      </c>
      <c r="B26" s="51"/>
      <c r="C26" s="51"/>
      <c r="D26" s="51"/>
      <c r="E26" s="51"/>
    </row>
    <row r="27" spans="1:5" ht="15.75" x14ac:dyDescent="0.25">
      <c r="A27" s="51">
        <v>23</v>
      </c>
      <c r="B27" s="51"/>
      <c r="C27" s="51"/>
      <c r="D27" s="51"/>
      <c r="E27" s="51"/>
    </row>
    <row r="28" spans="1:5" ht="15.75" x14ac:dyDescent="0.25">
      <c r="A28" s="51">
        <v>24</v>
      </c>
      <c r="B28" s="51"/>
      <c r="C28" s="51"/>
      <c r="D28" s="51"/>
      <c r="E28" s="51"/>
    </row>
    <row r="29" spans="1:5" ht="15.75" x14ac:dyDescent="0.25">
      <c r="A29" s="51">
        <v>25</v>
      </c>
      <c r="B29" s="51"/>
      <c r="C29" s="51"/>
      <c r="D29" s="51"/>
      <c r="E29" s="51"/>
    </row>
    <row r="30" spans="1:5" ht="15.75" x14ac:dyDescent="0.25">
      <c r="A30" s="51">
        <v>26</v>
      </c>
      <c r="B30" s="51"/>
      <c r="C30" s="51"/>
      <c r="D30" s="51"/>
      <c r="E30" s="51"/>
    </row>
    <row r="31" spans="1:5" ht="15.75" x14ac:dyDescent="0.25">
      <c r="A31" s="51">
        <v>27</v>
      </c>
      <c r="B31" s="51"/>
      <c r="C31" s="51"/>
      <c r="D31" s="51"/>
      <c r="E31" s="51"/>
    </row>
    <row r="32" spans="1:5" ht="15.75" x14ac:dyDescent="0.25">
      <c r="A32" s="51">
        <v>28</v>
      </c>
      <c r="B32" s="51"/>
      <c r="C32" s="51"/>
      <c r="D32" s="51"/>
      <c r="E32" s="51"/>
    </row>
    <row r="33" spans="1:5" ht="15.75" x14ac:dyDescent="0.25">
      <c r="A33" s="51">
        <v>29</v>
      </c>
      <c r="B33" s="51"/>
      <c r="C33" s="51"/>
      <c r="D33" s="51"/>
      <c r="E33" s="51"/>
    </row>
    <row r="34" spans="1:5" ht="15.75" x14ac:dyDescent="0.25">
      <c r="A34" s="51">
        <v>30</v>
      </c>
      <c r="B34" s="51"/>
      <c r="C34" s="51"/>
      <c r="D34" s="51"/>
      <c r="E34" s="51"/>
    </row>
    <row r="35" spans="1:5" ht="15.75" x14ac:dyDescent="0.25">
      <c r="A35" s="51">
        <v>31</v>
      </c>
      <c r="B35" s="51"/>
      <c r="C35" s="51"/>
      <c r="D35" s="51"/>
      <c r="E35" s="51"/>
    </row>
    <row r="36" spans="1:5" ht="15.75" x14ac:dyDescent="0.25">
      <c r="A36" s="51">
        <v>32</v>
      </c>
      <c r="B36" s="51"/>
      <c r="C36" s="51"/>
      <c r="D36" s="51"/>
      <c r="E36" s="51"/>
    </row>
    <row r="37" spans="1:5" ht="15.75" x14ac:dyDescent="0.25">
      <c r="A37" s="51">
        <v>33</v>
      </c>
      <c r="B37" s="51"/>
      <c r="C37" s="51"/>
      <c r="D37" s="51"/>
      <c r="E37" s="51"/>
    </row>
    <row r="38" spans="1:5" ht="15.75" x14ac:dyDescent="0.25">
      <c r="A38" s="51">
        <v>34</v>
      </c>
      <c r="B38" s="51"/>
      <c r="C38" s="51"/>
      <c r="D38" s="51"/>
      <c r="E38" s="51"/>
    </row>
    <row r="39" spans="1:5" ht="15.75" x14ac:dyDescent="0.25">
      <c r="A39" s="51">
        <v>35</v>
      </c>
      <c r="B39" s="51"/>
      <c r="C39" s="51"/>
      <c r="D39" s="51"/>
      <c r="E39" s="51"/>
    </row>
    <row r="40" spans="1:5" ht="15.75" x14ac:dyDescent="0.25">
      <c r="A40" s="51">
        <v>36</v>
      </c>
      <c r="B40" s="51"/>
      <c r="C40" s="51"/>
      <c r="D40" s="51"/>
      <c r="E40" s="51"/>
    </row>
    <row r="41" spans="1:5" ht="15.75" x14ac:dyDescent="0.25">
      <c r="A41" s="51">
        <v>37</v>
      </c>
      <c r="B41" s="51"/>
      <c r="C41" s="51"/>
      <c r="D41" s="51"/>
      <c r="E41" s="51"/>
    </row>
    <row r="42" spans="1:5" ht="15.75" x14ac:dyDescent="0.25">
      <c r="A42" s="51">
        <v>38</v>
      </c>
      <c r="B42" s="51"/>
      <c r="C42" s="51"/>
      <c r="D42" s="51"/>
      <c r="E42" s="51"/>
    </row>
    <row r="43" spans="1:5" ht="15.75" x14ac:dyDescent="0.25">
      <c r="A43" s="51">
        <v>39</v>
      </c>
      <c r="B43" s="51"/>
      <c r="C43" s="51"/>
      <c r="D43" s="51"/>
      <c r="E43" s="51"/>
    </row>
    <row r="44" spans="1:5" ht="15.75" x14ac:dyDescent="0.25">
      <c r="A44" s="51">
        <v>40</v>
      </c>
      <c r="B44" s="51"/>
      <c r="C44" s="51"/>
      <c r="D44" s="51"/>
      <c r="E44" s="51"/>
    </row>
    <row r="45" spans="1:5" ht="15.75" x14ac:dyDescent="0.25">
      <c r="A45" s="51">
        <v>41</v>
      </c>
      <c r="B45" s="51"/>
      <c r="C45" s="51"/>
      <c r="D45" s="51"/>
      <c r="E45" s="51"/>
    </row>
    <row r="46" spans="1:5" ht="15.75" x14ac:dyDescent="0.25">
      <c r="A46" s="51">
        <v>42</v>
      </c>
      <c r="B46" s="51"/>
      <c r="C46" s="51"/>
      <c r="D46" s="51"/>
      <c r="E46" s="51"/>
    </row>
    <row r="47" spans="1:5" ht="15.75" x14ac:dyDescent="0.25">
      <c r="A47" s="51">
        <v>43</v>
      </c>
      <c r="B47" s="51"/>
      <c r="C47" s="51"/>
      <c r="D47" s="51"/>
      <c r="E47" s="51"/>
    </row>
    <row r="48" spans="1:5" ht="15.75" x14ac:dyDescent="0.25">
      <c r="A48" s="51">
        <v>44</v>
      </c>
      <c r="B48" s="51"/>
      <c r="C48" s="51"/>
      <c r="D48" s="51"/>
      <c r="E48" s="51"/>
    </row>
    <row r="49" spans="1:5" ht="15.75" x14ac:dyDescent="0.25">
      <c r="A49" s="51">
        <v>45</v>
      </c>
      <c r="B49" s="51"/>
      <c r="C49" s="51"/>
      <c r="D49" s="51"/>
      <c r="E49" s="51"/>
    </row>
    <row r="50" spans="1:5" ht="15.75" x14ac:dyDescent="0.25">
      <c r="A50" s="51">
        <v>46</v>
      </c>
      <c r="B50" s="51"/>
      <c r="C50" s="51"/>
      <c r="D50" s="51"/>
      <c r="E50" s="51"/>
    </row>
    <row r="51" spans="1:5" ht="15.75" x14ac:dyDescent="0.25">
      <c r="A51" s="51">
        <v>47</v>
      </c>
      <c r="B51" s="51"/>
      <c r="C51" s="51"/>
      <c r="D51" s="51"/>
      <c r="E51" s="51"/>
    </row>
    <row r="52" spans="1:5" ht="15.75" x14ac:dyDescent="0.25">
      <c r="A52" s="51">
        <v>48</v>
      </c>
      <c r="B52" s="51"/>
      <c r="C52" s="51"/>
      <c r="D52" s="51"/>
      <c r="E52" s="51"/>
    </row>
    <row r="53" spans="1:5" ht="15.75" x14ac:dyDescent="0.25">
      <c r="A53" s="51">
        <v>49</v>
      </c>
      <c r="B53" s="51"/>
      <c r="C53" s="51"/>
      <c r="D53" s="51"/>
      <c r="E53" s="51"/>
    </row>
    <row r="54" spans="1:5" ht="15.75" x14ac:dyDescent="0.25">
      <c r="A54" s="51">
        <v>50</v>
      </c>
      <c r="B54" s="51"/>
      <c r="C54" s="51"/>
      <c r="D54" s="51"/>
      <c r="E54" s="51"/>
    </row>
  </sheetData>
  <mergeCells count="2">
    <mergeCell ref="A1:E1"/>
    <mergeCell ref="A2:E2"/>
  </mergeCells>
  <printOptions horizontalCentered="1"/>
  <pageMargins left="0.51181102362204722" right="0.51181102362204722" top="0.35433070866141736" bottom="0.35433070866141736" header="0.31496062992125984" footer="0.31496062992125984"/>
  <pageSetup paperSize="9" scale="9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05459-E8BC-4C8E-8C22-FF545FEEE168}">
  <sheetPr codeName="Sheet3"/>
  <dimension ref="A1:R74"/>
  <sheetViews>
    <sheetView showGridLines="0" zoomScale="90" zoomScaleNormal="90" workbookViewId="0">
      <pane ySplit="2" topLeftCell="A3" activePane="bottomLeft" state="frozen"/>
      <selection pane="bottomLeft" activeCell="E15" sqref="E15"/>
    </sheetView>
  </sheetViews>
  <sheetFormatPr defaultRowHeight="15" x14ac:dyDescent="0.25"/>
  <cols>
    <col min="1" max="1" width="3" customWidth="1"/>
    <col min="2" max="2" width="17.5703125" customWidth="1"/>
    <col min="3" max="5" width="19.5703125" customWidth="1"/>
    <col min="6" max="7" width="3.7109375" customWidth="1"/>
    <col min="8" max="8" width="17.5703125" customWidth="1"/>
    <col min="9" max="11" width="19.85546875" customWidth="1"/>
    <col min="12" max="13" width="3.7109375" customWidth="1"/>
    <col min="14" max="14" width="9.42578125" bestFit="1" customWidth="1"/>
    <col min="15" max="16" width="9.42578125" customWidth="1"/>
    <col min="17" max="18" width="1.7109375" customWidth="1"/>
  </cols>
  <sheetData>
    <row r="1" spans="1:18" ht="22.5" x14ac:dyDescent="0.3">
      <c r="A1" s="24" t="s">
        <v>21</v>
      </c>
      <c r="Q1" s="25"/>
      <c r="R1" s="26"/>
    </row>
    <row r="2" spans="1:18" ht="15.75" thickBot="1" x14ac:dyDescent="0.3">
      <c r="Q2" s="25"/>
      <c r="R2" s="26"/>
    </row>
    <row r="3" spans="1:18" ht="18.75" x14ac:dyDescent="0.3">
      <c r="A3" s="27" t="s">
        <v>22</v>
      </c>
      <c r="B3" s="28"/>
      <c r="C3" s="28"/>
      <c r="D3" s="28"/>
      <c r="E3" s="28"/>
      <c r="F3" s="28"/>
      <c r="G3" s="29"/>
      <c r="H3" s="28"/>
      <c r="I3" s="28"/>
      <c r="J3" s="28"/>
      <c r="K3" s="28"/>
      <c r="L3" s="28"/>
      <c r="M3" s="28"/>
      <c r="N3" s="28"/>
      <c r="O3" s="28"/>
      <c r="P3" s="28"/>
      <c r="Q3" s="25"/>
      <c r="R3" s="26"/>
    </row>
    <row r="4" spans="1:18" ht="18.75" x14ac:dyDescent="0.3">
      <c r="A4" s="16"/>
      <c r="B4" s="30" t="s">
        <v>23</v>
      </c>
      <c r="C4" s="30"/>
      <c r="D4" s="30"/>
      <c r="E4" s="30"/>
      <c r="G4" s="32"/>
      <c r="H4" s="33" t="s">
        <v>24</v>
      </c>
      <c r="I4" s="34"/>
      <c r="J4" s="34"/>
      <c r="K4" s="34"/>
      <c r="N4" s="35" t="s">
        <v>25</v>
      </c>
      <c r="O4" s="35"/>
      <c r="P4" s="35"/>
      <c r="Q4" s="25"/>
      <c r="R4" s="26"/>
    </row>
    <row r="5" spans="1:18" ht="18.75" x14ac:dyDescent="0.3">
      <c r="B5" s="56" t="s">
        <v>39</v>
      </c>
      <c r="C5" s="56"/>
      <c r="D5" s="70"/>
      <c r="E5" s="31"/>
      <c r="G5" s="32"/>
      <c r="H5" s="56" t="s">
        <v>39</v>
      </c>
      <c r="I5" s="56"/>
      <c r="J5" s="70"/>
      <c r="K5" s="31"/>
      <c r="Q5" s="25"/>
      <c r="R5" s="26"/>
    </row>
    <row r="6" spans="1:18" ht="20.100000000000001" customHeight="1" x14ac:dyDescent="0.3">
      <c r="A6" s="16"/>
      <c r="B6" s="69" t="s">
        <v>40</v>
      </c>
      <c r="C6" s="45">
        <v>72</v>
      </c>
      <c r="D6" s="71"/>
      <c r="E6" s="37"/>
      <c r="G6" s="32"/>
      <c r="H6" s="69" t="s">
        <v>40</v>
      </c>
      <c r="I6" s="45">
        <v>72</v>
      </c>
      <c r="J6" s="71"/>
      <c r="K6" s="37"/>
      <c r="N6" s="38" t="b">
        <f>AND(I6&gt;=71,I6&lt;=73)</f>
        <v>1</v>
      </c>
      <c r="O6" s="38"/>
      <c r="P6" s="46"/>
      <c r="Q6" s="25"/>
      <c r="R6" s="26"/>
    </row>
    <row r="7" spans="1:18" ht="20.100000000000001" customHeight="1" x14ac:dyDescent="0.3">
      <c r="A7" s="16"/>
      <c r="B7" s="69" t="s">
        <v>41</v>
      </c>
      <c r="C7" s="45">
        <v>72</v>
      </c>
      <c r="D7" s="71"/>
      <c r="E7" s="37"/>
      <c r="G7" s="32"/>
      <c r="H7" s="69" t="s">
        <v>41</v>
      </c>
      <c r="I7" s="45">
        <v>72</v>
      </c>
      <c r="J7" s="71"/>
      <c r="K7" s="37"/>
      <c r="N7" s="38" t="b">
        <f>AND(I7&gt;=71,I7&lt;=73)</f>
        <v>1</v>
      </c>
      <c r="O7" s="38"/>
      <c r="P7" s="38"/>
      <c r="Q7" s="25"/>
      <c r="R7" s="26"/>
    </row>
    <row r="8" spans="1:18" ht="20.100000000000001" customHeight="1" x14ac:dyDescent="0.3">
      <c r="A8" s="16"/>
      <c r="B8" s="69" t="s">
        <v>42</v>
      </c>
      <c r="C8" s="45">
        <v>57.599998474121094</v>
      </c>
      <c r="D8" s="71"/>
      <c r="E8" s="37"/>
      <c r="G8" s="32"/>
      <c r="H8" s="69" t="s">
        <v>42</v>
      </c>
      <c r="I8" s="45">
        <v>57.599998474121094</v>
      </c>
      <c r="J8" s="71"/>
      <c r="K8" s="37"/>
      <c r="N8" s="38" t="b">
        <f>AND(I8&gt;=57,I8&lt;=58)</f>
        <v>1</v>
      </c>
      <c r="O8" s="38"/>
      <c r="P8" s="38"/>
      <c r="Q8" s="25"/>
      <c r="R8" s="26"/>
    </row>
    <row r="9" spans="1:18" ht="20.100000000000001" customHeight="1" x14ac:dyDescent="0.3">
      <c r="A9" s="16"/>
      <c r="B9" s="69" t="s">
        <v>43</v>
      </c>
      <c r="C9" s="45">
        <v>57.599998474121094</v>
      </c>
      <c r="D9" s="71"/>
      <c r="E9" s="37"/>
      <c r="G9" s="32"/>
      <c r="H9" s="69" t="s">
        <v>43</v>
      </c>
      <c r="I9" s="45">
        <v>57.599998474121094</v>
      </c>
      <c r="J9" s="71"/>
      <c r="K9" s="37"/>
      <c r="N9" s="38" t="b">
        <f>AND(I9&gt;=57,I9&lt;=58)</f>
        <v>1</v>
      </c>
      <c r="O9" s="38"/>
      <c r="P9" s="38"/>
      <c r="Q9" s="25"/>
      <c r="R9" s="26"/>
    </row>
    <row r="10" spans="1:18" ht="15.75" thickBot="1" x14ac:dyDescent="0.3">
      <c r="G10" s="32"/>
      <c r="Q10" s="25"/>
      <c r="R10" s="26"/>
    </row>
    <row r="11" spans="1:18" ht="18.75" x14ac:dyDescent="0.3">
      <c r="A11" s="27" t="s">
        <v>26</v>
      </c>
      <c r="B11" s="28"/>
      <c r="C11" s="28"/>
      <c r="D11" s="28"/>
      <c r="E11" s="28"/>
      <c r="F11" s="28"/>
      <c r="G11" s="29"/>
      <c r="H11" s="28"/>
      <c r="I11" s="28"/>
      <c r="J11" s="28"/>
      <c r="K11" s="28"/>
      <c r="L11" s="28"/>
      <c r="M11" s="28"/>
      <c r="N11" s="28"/>
      <c r="O11" s="28"/>
      <c r="P11" s="28"/>
      <c r="Q11" s="25"/>
      <c r="R11" s="26"/>
    </row>
    <row r="12" spans="1:18" ht="18.75" x14ac:dyDescent="0.3">
      <c r="A12" s="16"/>
      <c r="B12" s="30" t="s">
        <v>23</v>
      </c>
      <c r="C12" s="30"/>
      <c r="D12" s="30"/>
      <c r="E12" s="30"/>
      <c r="G12" s="32"/>
      <c r="H12" s="33" t="s">
        <v>24</v>
      </c>
      <c r="I12" s="34"/>
      <c r="J12" s="34"/>
      <c r="K12" s="34"/>
      <c r="N12" s="35" t="s">
        <v>25</v>
      </c>
      <c r="O12" s="35"/>
      <c r="P12" s="35"/>
      <c r="Q12" s="25"/>
      <c r="R12" s="26"/>
    </row>
    <row r="13" spans="1:18" ht="18.75" x14ac:dyDescent="0.3">
      <c r="B13" s="31"/>
      <c r="C13" s="31"/>
      <c r="D13" s="31"/>
      <c r="E13" s="31"/>
      <c r="G13" s="32"/>
      <c r="H13" s="39"/>
      <c r="I13" s="66"/>
      <c r="J13" s="66"/>
      <c r="K13" s="66"/>
      <c r="L13" s="39"/>
      <c r="Q13" s="25"/>
      <c r="R13" s="26"/>
    </row>
    <row r="14" spans="1:18" ht="18.75" x14ac:dyDescent="0.3">
      <c r="A14" s="16"/>
      <c r="B14" s="36" t="s">
        <v>27</v>
      </c>
      <c r="C14" s="40" t="s">
        <v>44</v>
      </c>
      <c r="D14" s="41"/>
      <c r="E14" s="42"/>
      <c r="G14" s="32"/>
      <c r="H14" s="36" t="s">
        <v>30</v>
      </c>
      <c r="I14" s="40" t="s">
        <v>44</v>
      </c>
      <c r="J14" s="67"/>
      <c r="K14" s="68"/>
      <c r="L14" s="37"/>
      <c r="N14" s="38" t="b">
        <f>EXACT(C14,I14)</f>
        <v>1</v>
      </c>
      <c r="O14" s="38"/>
      <c r="P14" s="38"/>
      <c r="Q14" s="25"/>
      <c r="R14" s="26"/>
    </row>
    <row r="15" spans="1:18" ht="18.75" x14ac:dyDescent="0.3">
      <c r="B15" s="36" t="s">
        <v>55</v>
      </c>
      <c r="C15" s="40">
        <v>2</v>
      </c>
      <c r="D15" s="67"/>
      <c r="E15" s="68"/>
      <c r="G15" s="32"/>
      <c r="H15" s="36" t="s">
        <v>55</v>
      </c>
      <c r="I15" s="40">
        <v>2</v>
      </c>
      <c r="J15" s="67"/>
      <c r="K15" s="68"/>
      <c r="L15" s="37"/>
      <c r="N15" s="38" t="b">
        <f>C15=I15</f>
        <v>1</v>
      </c>
      <c r="O15" s="38"/>
      <c r="P15" s="38"/>
      <c r="Q15" s="25"/>
      <c r="R15" s="26"/>
    </row>
    <row r="16" spans="1:18" ht="18.75" x14ac:dyDescent="0.3">
      <c r="B16" s="36" t="s">
        <v>56</v>
      </c>
      <c r="C16" s="40">
        <v>1</v>
      </c>
      <c r="D16" s="67"/>
      <c r="E16" s="68"/>
      <c r="G16" s="32"/>
      <c r="H16" s="36" t="s">
        <v>56</v>
      </c>
      <c r="I16" s="40">
        <v>1</v>
      </c>
      <c r="J16" s="67"/>
      <c r="K16" s="68"/>
      <c r="N16" s="38" t="b">
        <f>C16=I16</f>
        <v>1</v>
      </c>
      <c r="O16" s="46"/>
      <c r="P16" s="46"/>
      <c r="Q16" s="25"/>
      <c r="R16" s="26"/>
    </row>
    <row r="17" spans="1:18" ht="19.5" thickBot="1" x14ac:dyDescent="0.35">
      <c r="B17" s="58"/>
      <c r="C17" s="59"/>
      <c r="D17" s="60"/>
      <c r="E17" s="60"/>
      <c r="G17" s="32"/>
      <c r="H17" s="58"/>
      <c r="I17" s="59"/>
      <c r="N17" s="38"/>
      <c r="O17" s="46"/>
      <c r="P17" s="46"/>
      <c r="Q17" s="25"/>
      <c r="R17" s="26"/>
    </row>
    <row r="18" spans="1:18" ht="18.75" x14ac:dyDescent="0.3">
      <c r="A18" s="27" t="s">
        <v>28</v>
      </c>
      <c r="B18" s="28"/>
      <c r="C18" s="28"/>
      <c r="D18" s="28"/>
      <c r="E18" s="28"/>
      <c r="F18" s="28"/>
      <c r="G18" s="29"/>
      <c r="H18" s="28"/>
      <c r="I18" s="28"/>
      <c r="J18" s="28"/>
      <c r="K18" s="28"/>
      <c r="L18" s="28"/>
      <c r="M18" s="28"/>
      <c r="N18" s="28"/>
      <c r="O18" s="28"/>
      <c r="P18" s="28"/>
      <c r="Q18" s="25"/>
      <c r="R18" s="26"/>
    </row>
    <row r="19" spans="1:18" ht="18.75" x14ac:dyDescent="0.3">
      <c r="A19" s="16"/>
      <c r="B19" s="30" t="s">
        <v>23</v>
      </c>
      <c r="C19" s="30"/>
      <c r="D19" s="30"/>
      <c r="E19" s="30"/>
      <c r="G19" s="32"/>
      <c r="H19" s="33" t="s">
        <v>24</v>
      </c>
      <c r="I19" s="34"/>
      <c r="J19" s="34"/>
      <c r="K19" s="34"/>
      <c r="N19" s="35" t="s">
        <v>25</v>
      </c>
      <c r="O19" s="35"/>
      <c r="P19" s="35"/>
      <c r="Q19" s="25"/>
      <c r="R19" s="26"/>
    </row>
    <row r="20" spans="1:18" ht="18.75" x14ac:dyDescent="0.3">
      <c r="B20" s="31"/>
      <c r="C20" s="31"/>
      <c r="D20" s="31"/>
      <c r="E20" s="31"/>
      <c r="G20" s="32"/>
      <c r="H20" s="39"/>
      <c r="I20" s="39"/>
      <c r="J20" s="39"/>
      <c r="K20" s="39"/>
      <c r="L20" s="39"/>
      <c r="Q20" s="25"/>
      <c r="R20" s="26"/>
    </row>
    <row r="21" spans="1:18" ht="18.75" x14ac:dyDescent="0.3">
      <c r="A21" s="16"/>
      <c r="B21" s="36" t="s">
        <v>27</v>
      </c>
      <c r="C21" s="40" t="s">
        <v>46</v>
      </c>
      <c r="D21" s="41"/>
      <c r="E21" s="42"/>
      <c r="G21" s="32"/>
      <c r="H21" s="36" t="s">
        <v>27</v>
      </c>
      <c r="I21" s="40" t="s">
        <v>46</v>
      </c>
      <c r="J21" s="41"/>
      <c r="K21" s="42"/>
      <c r="L21" s="37"/>
      <c r="N21" s="38" t="b">
        <f>EXACT(C21,I21)</f>
        <v>1</v>
      </c>
      <c r="O21" s="38"/>
      <c r="P21" s="38"/>
      <c r="Q21" s="25"/>
      <c r="R21" s="26"/>
    </row>
    <row r="22" spans="1:18" ht="18.75" x14ac:dyDescent="0.3">
      <c r="B22" s="36" t="s">
        <v>47</v>
      </c>
      <c r="C22" s="40" t="s">
        <v>48</v>
      </c>
      <c r="D22" s="41"/>
      <c r="E22" s="42"/>
      <c r="G22" s="32"/>
      <c r="H22" s="36" t="s">
        <v>47</v>
      </c>
      <c r="I22" s="40" t="s">
        <v>48</v>
      </c>
      <c r="J22" s="41"/>
      <c r="K22" s="42"/>
      <c r="N22" s="38" t="b">
        <f t="shared" ref="N22:N23" si="0">EXACT(C22,I22)</f>
        <v>1</v>
      </c>
      <c r="O22" s="38"/>
      <c r="P22" s="38"/>
      <c r="Q22" s="25"/>
      <c r="R22" s="26"/>
    </row>
    <row r="23" spans="1:18" ht="18.75" x14ac:dyDescent="0.3">
      <c r="B23" s="36" t="s">
        <v>50</v>
      </c>
      <c r="C23" s="40" t="s">
        <v>49</v>
      </c>
      <c r="D23" s="41"/>
      <c r="E23" s="42"/>
      <c r="G23" s="32"/>
      <c r="H23" s="36" t="s">
        <v>50</v>
      </c>
      <c r="I23" s="40" t="s">
        <v>49</v>
      </c>
      <c r="J23" s="41"/>
      <c r="K23" s="42"/>
      <c r="N23" s="38" t="b">
        <f t="shared" si="0"/>
        <v>1</v>
      </c>
      <c r="O23" s="38"/>
      <c r="P23" s="38"/>
      <c r="Q23" s="25"/>
      <c r="R23" s="26"/>
    </row>
    <row r="24" spans="1:18" ht="15.75" thickBot="1" x14ac:dyDescent="0.3">
      <c r="G24" s="32"/>
      <c r="Q24" s="25"/>
      <c r="R24" s="26"/>
    </row>
    <row r="25" spans="1:18" ht="18.75" x14ac:dyDescent="0.3">
      <c r="A25" s="27" t="s">
        <v>29</v>
      </c>
      <c r="B25" s="28"/>
      <c r="C25" s="28"/>
      <c r="D25" s="28"/>
      <c r="E25" s="28"/>
      <c r="F25" s="28"/>
      <c r="G25" s="29"/>
      <c r="H25" s="28"/>
      <c r="I25" s="28"/>
      <c r="J25" s="28"/>
      <c r="K25" s="28"/>
      <c r="L25" s="28"/>
      <c r="M25" s="28"/>
      <c r="N25" s="28"/>
      <c r="O25" s="28"/>
      <c r="P25" s="28"/>
      <c r="Q25" s="25"/>
      <c r="R25" s="26"/>
    </row>
    <row r="26" spans="1:18" ht="18.75" x14ac:dyDescent="0.3">
      <c r="A26" s="16"/>
      <c r="B26" s="30" t="s">
        <v>23</v>
      </c>
      <c r="C26" s="30"/>
      <c r="D26" s="30"/>
      <c r="E26" s="30"/>
      <c r="G26" s="32"/>
      <c r="H26" s="33" t="s">
        <v>24</v>
      </c>
      <c r="I26" s="34"/>
      <c r="J26" s="34"/>
      <c r="K26" s="34"/>
      <c r="N26" s="35" t="s">
        <v>25</v>
      </c>
      <c r="O26" s="35"/>
      <c r="P26" s="35"/>
      <c r="Q26" s="25"/>
      <c r="R26" s="26"/>
    </row>
    <row r="27" spans="1:18" ht="18.75" x14ac:dyDescent="0.3">
      <c r="B27" s="31"/>
      <c r="C27" s="31"/>
      <c r="D27" s="31"/>
      <c r="E27" s="31"/>
      <c r="G27" s="32"/>
      <c r="H27" s="39"/>
      <c r="I27" s="39"/>
      <c r="J27" s="39"/>
      <c r="K27" s="39"/>
      <c r="L27" s="39"/>
      <c r="Q27" s="25"/>
      <c r="R27" s="26"/>
    </row>
    <row r="28" spans="1:18" ht="19.5" customHeight="1" x14ac:dyDescent="0.3">
      <c r="A28" s="16"/>
      <c r="B28" s="36" t="s">
        <v>53</v>
      </c>
      <c r="C28" s="80" t="s">
        <v>51</v>
      </c>
      <c r="D28" s="83"/>
      <c r="E28" s="84"/>
      <c r="G28" s="32"/>
      <c r="H28" s="36" t="s">
        <v>53</v>
      </c>
      <c r="I28" s="80" t="s">
        <v>51</v>
      </c>
      <c r="J28" s="81"/>
      <c r="K28" s="82"/>
      <c r="L28" s="37"/>
      <c r="N28" s="38" t="b">
        <f>EXACT(C28,I28)</f>
        <v>1</v>
      </c>
      <c r="O28" s="62"/>
      <c r="P28" s="62"/>
      <c r="Q28" s="25"/>
      <c r="R28" s="26"/>
    </row>
    <row r="29" spans="1:18" ht="19.5" customHeight="1" x14ac:dyDescent="0.3">
      <c r="B29" s="43" t="s">
        <v>54</v>
      </c>
      <c r="C29" s="80" t="s">
        <v>52</v>
      </c>
      <c r="D29" s="83"/>
      <c r="E29" s="84"/>
      <c r="G29" s="32"/>
      <c r="H29" s="43" t="s">
        <v>54</v>
      </c>
      <c r="I29" s="80" t="s">
        <v>52</v>
      </c>
      <c r="J29" s="83"/>
      <c r="K29" s="84"/>
      <c r="N29" s="38" t="b">
        <f>EXACT(C29,I29)</f>
        <v>1</v>
      </c>
      <c r="O29" s="62"/>
      <c r="P29" s="62"/>
      <c r="Q29" s="25"/>
      <c r="R29" s="26"/>
    </row>
    <row r="30" spans="1:18" ht="19.5" customHeight="1" x14ac:dyDescent="0.3">
      <c r="B30" s="57"/>
      <c r="C30" s="44"/>
      <c r="G30" s="32"/>
      <c r="H30" s="57"/>
      <c r="I30" s="44"/>
      <c r="N30" s="62"/>
      <c r="Q30" s="25"/>
      <c r="R30" s="26"/>
    </row>
    <row r="31" spans="1:18" ht="19.5" thickBot="1" x14ac:dyDescent="0.35">
      <c r="B31" s="58"/>
      <c r="C31" s="59"/>
      <c r="D31" s="60"/>
      <c r="E31" s="60"/>
      <c r="G31" s="32"/>
      <c r="H31" s="58"/>
      <c r="I31" s="59"/>
      <c r="J31" s="60"/>
      <c r="K31" s="60"/>
      <c r="N31" s="65"/>
      <c r="O31" s="60"/>
      <c r="P31" s="60"/>
      <c r="Q31" s="25"/>
      <c r="R31" s="26"/>
    </row>
    <row r="32" spans="1:18" ht="18.75" x14ac:dyDescent="0.3">
      <c r="A32" s="27" t="s">
        <v>31</v>
      </c>
      <c r="B32" s="28"/>
      <c r="C32" s="28"/>
      <c r="D32" s="28"/>
      <c r="E32" s="28"/>
      <c r="F32" s="28"/>
      <c r="G32" s="29"/>
      <c r="H32" s="28"/>
      <c r="I32" s="28"/>
      <c r="J32" s="28"/>
      <c r="K32" s="28"/>
      <c r="L32" s="28"/>
      <c r="M32" s="28"/>
      <c r="N32" s="28"/>
      <c r="O32" s="28"/>
      <c r="P32" s="28"/>
      <c r="Q32" s="25"/>
      <c r="R32" s="26"/>
    </row>
    <row r="33" spans="1:18" ht="18.75" x14ac:dyDescent="0.3">
      <c r="A33" s="16"/>
      <c r="B33" s="30" t="s">
        <v>23</v>
      </c>
      <c r="C33" s="30"/>
      <c r="D33" s="30"/>
      <c r="E33" s="30"/>
      <c r="G33" s="32"/>
      <c r="H33" s="33" t="s">
        <v>24</v>
      </c>
      <c r="I33" s="34"/>
      <c r="J33" s="34"/>
      <c r="K33" s="34"/>
      <c r="N33" s="35" t="s">
        <v>25</v>
      </c>
      <c r="O33" s="35"/>
      <c r="P33" s="35"/>
      <c r="Q33" s="25"/>
      <c r="R33" s="26"/>
    </row>
    <row r="34" spans="1:18" ht="18.75" x14ac:dyDescent="0.3">
      <c r="B34" s="31"/>
      <c r="C34" s="47"/>
      <c r="D34" s="47"/>
      <c r="E34" s="47"/>
      <c r="G34" s="32"/>
      <c r="H34" s="39"/>
      <c r="I34" s="47"/>
      <c r="J34" s="47"/>
      <c r="K34" s="47"/>
      <c r="L34" s="39"/>
      <c r="Q34" s="25"/>
      <c r="R34" s="26"/>
    </row>
    <row r="35" spans="1:18" ht="18.75" x14ac:dyDescent="0.3">
      <c r="A35" s="16"/>
      <c r="B35" s="36" t="s">
        <v>30</v>
      </c>
      <c r="C35" s="40" t="s">
        <v>58</v>
      </c>
      <c r="D35" s="41"/>
      <c r="E35" s="42"/>
      <c r="G35" s="32"/>
      <c r="H35" s="36" t="s">
        <v>25</v>
      </c>
      <c r="I35" s="40" t="s">
        <v>59</v>
      </c>
      <c r="J35" s="41"/>
      <c r="K35" s="42"/>
      <c r="L35" s="37"/>
      <c r="N35" s="38" t="b">
        <f>I35="Has Hyperlink"</f>
        <v>1</v>
      </c>
      <c r="O35" s="38"/>
      <c r="P35" s="38"/>
      <c r="Q35" s="25"/>
      <c r="R35" s="26"/>
    </row>
    <row r="36" spans="1:18" ht="18.75" x14ac:dyDescent="0.3">
      <c r="B36" s="43" t="s">
        <v>57</v>
      </c>
      <c r="C36" s="40" t="s">
        <v>60</v>
      </c>
      <c r="D36" s="41"/>
      <c r="E36" s="42"/>
      <c r="G36" s="32"/>
      <c r="H36" s="43" t="s">
        <v>57</v>
      </c>
      <c r="I36" s="40" t="s">
        <v>60</v>
      </c>
      <c r="J36" s="41"/>
      <c r="K36" s="42"/>
      <c r="N36" s="38" t="b">
        <f>C36=I36</f>
        <v>1</v>
      </c>
      <c r="O36" s="38"/>
      <c r="P36" s="38"/>
      <c r="Q36" s="25"/>
      <c r="R36" s="26"/>
    </row>
    <row r="37" spans="1:18" ht="18.75" x14ac:dyDescent="0.3">
      <c r="B37" s="57"/>
      <c r="C37" s="44"/>
      <c r="G37" s="32"/>
      <c r="H37" s="57"/>
      <c r="I37" s="44"/>
      <c r="N37" s="38"/>
      <c r="O37" s="38"/>
      <c r="P37" s="38"/>
      <c r="Q37" s="25"/>
      <c r="R37" s="26"/>
    </row>
    <row r="38" spans="1:18" ht="19.5" thickBot="1" x14ac:dyDescent="0.35">
      <c r="B38" s="58"/>
      <c r="C38" s="59"/>
      <c r="G38" s="32"/>
      <c r="H38" s="58"/>
      <c r="I38" s="59"/>
      <c r="N38" s="38"/>
      <c r="O38" s="38"/>
      <c r="P38" s="38"/>
      <c r="Q38" s="25"/>
      <c r="R38" s="26"/>
    </row>
    <row r="39" spans="1:18" ht="18.75" x14ac:dyDescent="0.3">
      <c r="A39" s="27"/>
      <c r="B39" s="28"/>
      <c r="C39" s="28"/>
      <c r="D39" s="28"/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5"/>
      <c r="R39" s="26"/>
    </row>
    <row r="40" spans="1:18" ht="18.75" x14ac:dyDescent="0.3">
      <c r="A40" s="16"/>
      <c r="B40" s="31"/>
      <c r="C40" s="31"/>
      <c r="D40" s="31"/>
      <c r="E40" s="31"/>
      <c r="H40" s="31"/>
      <c r="N40" s="31"/>
      <c r="O40" s="31"/>
      <c r="P40" s="31"/>
      <c r="Q40" s="25"/>
      <c r="R40" s="26"/>
    </row>
    <row r="41" spans="1:18" ht="18.75" x14ac:dyDescent="0.3">
      <c r="B41" s="31"/>
      <c r="C41" s="31"/>
      <c r="D41" s="31"/>
      <c r="E41" s="31"/>
      <c r="H41" s="31"/>
      <c r="I41" s="31"/>
      <c r="J41" s="31"/>
      <c r="K41" s="39"/>
      <c r="L41" s="39"/>
      <c r="Q41" s="25"/>
      <c r="R41" s="26"/>
    </row>
    <row r="42" spans="1:18" ht="18.75" x14ac:dyDescent="0.3">
      <c r="A42" s="16"/>
      <c r="B42" s="61"/>
      <c r="C42" s="37"/>
      <c r="D42" s="37"/>
      <c r="E42" s="37"/>
      <c r="H42" s="61"/>
      <c r="I42" s="37"/>
      <c r="J42" s="37"/>
      <c r="K42" s="37"/>
      <c r="N42" s="62"/>
      <c r="O42" s="62"/>
      <c r="Q42" s="25"/>
      <c r="R42" s="26"/>
    </row>
    <row r="43" spans="1:18" ht="18.75" x14ac:dyDescent="0.3">
      <c r="B43" s="57"/>
      <c r="C43" s="44"/>
      <c r="D43" s="44"/>
      <c r="E43" s="37"/>
      <c r="H43" s="57"/>
      <c r="I43" s="44"/>
      <c r="J43" s="37"/>
      <c r="K43" s="37"/>
      <c r="L43" s="37"/>
      <c r="N43" s="62"/>
      <c r="O43" s="62"/>
      <c r="P43" s="62"/>
      <c r="Q43" s="25"/>
      <c r="R43" s="26"/>
    </row>
    <row r="44" spans="1:18" ht="18.75" x14ac:dyDescent="0.3">
      <c r="B44" s="57"/>
      <c r="C44" s="44"/>
      <c r="E44" s="37"/>
      <c r="H44" s="57"/>
      <c r="I44" s="44"/>
      <c r="K44" s="37"/>
      <c r="N44" s="62"/>
      <c r="O44" s="62"/>
      <c r="P44" s="62"/>
      <c r="Q44" s="25"/>
      <c r="R44" s="26"/>
    </row>
    <row r="45" spans="1:18" ht="18.75" x14ac:dyDescent="0.3">
      <c r="B45" s="57"/>
      <c r="C45" s="44"/>
      <c r="E45" s="37"/>
      <c r="H45" s="57"/>
      <c r="I45" s="44"/>
      <c r="K45" s="37"/>
      <c r="N45" s="62"/>
      <c r="O45" s="62"/>
      <c r="P45" s="62"/>
      <c r="Q45" s="25"/>
      <c r="R45" s="26"/>
    </row>
    <row r="46" spans="1:18" ht="18.75" x14ac:dyDescent="0.3">
      <c r="B46" s="63"/>
      <c r="C46" s="44"/>
      <c r="H46" s="63"/>
      <c r="I46" s="44"/>
      <c r="N46" s="62"/>
      <c r="O46" s="62"/>
      <c r="P46" s="62"/>
      <c r="Q46" s="25"/>
      <c r="R46" s="26"/>
    </row>
    <row r="47" spans="1:18" ht="18.75" x14ac:dyDescent="0.3">
      <c r="A47" s="31"/>
      <c r="Q47" s="25"/>
      <c r="R47" s="26"/>
    </row>
    <row r="48" spans="1:18" ht="18.75" x14ac:dyDescent="0.3">
      <c r="A48" s="16"/>
      <c r="B48" s="31"/>
      <c r="C48" s="31"/>
      <c r="D48" s="31"/>
      <c r="E48" s="31"/>
      <c r="H48" s="31"/>
      <c r="N48" s="31"/>
      <c r="O48" s="31"/>
      <c r="P48" s="31"/>
      <c r="Q48" s="25"/>
      <c r="R48" s="26"/>
    </row>
    <row r="49" spans="1:18" ht="18.75" x14ac:dyDescent="0.3">
      <c r="B49" s="31"/>
      <c r="C49" s="31"/>
      <c r="D49" s="31"/>
      <c r="E49" s="31"/>
      <c r="H49" s="39"/>
      <c r="I49" s="39"/>
      <c r="J49" s="39"/>
      <c r="K49" s="39"/>
      <c r="L49" s="39"/>
      <c r="Q49" s="25"/>
      <c r="R49" s="26"/>
    </row>
    <row r="50" spans="1:18" ht="18.75" x14ac:dyDescent="0.3">
      <c r="A50" s="16"/>
      <c r="B50" s="63"/>
      <c r="C50" s="37"/>
      <c r="D50" s="37"/>
      <c r="E50" s="37"/>
      <c r="H50" s="63"/>
      <c r="I50" s="37"/>
      <c r="J50" s="37"/>
      <c r="K50" s="37"/>
      <c r="Q50" s="25"/>
      <c r="R50" s="26"/>
    </row>
    <row r="51" spans="1:18" ht="18.75" x14ac:dyDescent="0.3">
      <c r="B51" s="63"/>
      <c r="C51" s="37"/>
      <c r="D51" s="37"/>
      <c r="E51" s="37"/>
      <c r="H51" s="63"/>
      <c r="I51" s="37"/>
      <c r="J51" s="37"/>
      <c r="K51" s="37"/>
      <c r="L51" s="37"/>
      <c r="N51" s="62"/>
      <c r="O51" s="62"/>
      <c r="P51" s="62"/>
      <c r="Q51" s="25"/>
      <c r="R51" s="26"/>
    </row>
    <row r="52" spans="1:18" ht="18.75" x14ac:dyDescent="0.3">
      <c r="B52" s="63"/>
      <c r="C52" s="37"/>
      <c r="D52" s="37"/>
      <c r="E52" s="37"/>
      <c r="H52" s="63"/>
      <c r="I52" s="37"/>
      <c r="J52" s="37"/>
      <c r="K52" s="37"/>
      <c r="N52" s="62"/>
      <c r="O52" s="62"/>
      <c r="P52" s="62"/>
      <c r="Q52" s="25"/>
      <c r="R52" s="26"/>
    </row>
    <row r="53" spans="1:18" x14ac:dyDescent="0.25">
      <c r="Q53" s="25"/>
      <c r="R53" s="26"/>
    </row>
    <row r="54" spans="1:18" ht="18.75" x14ac:dyDescent="0.3">
      <c r="A54" s="31"/>
      <c r="Q54" s="25"/>
      <c r="R54" s="26"/>
    </row>
    <row r="55" spans="1:18" ht="18.75" x14ac:dyDescent="0.3">
      <c r="A55" s="16"/>
      <c r="B55" s="31"/>
      <c r="C55" s="31"/>
      <c r="D55" s="31"/>
      <c r="E55" s="31"/>
      <c r="H55" s="31"/>
      <c r="N55" s="31"/>
      <c r="O55" s="31"/>
      <c r="P55" s="31"/>
      <c r="Q55" s="25"/>
      <c r="R55" s="26"/>
    </row>
    <row r="56" spans="1:18" ht="18.75" x14ac:dyDescent="0.3">
      <c r="B56" s="31"/>
      <c r="C56" s="31"/>
      <c r="D56" s="31"/>
      <c r="E56" s="31"/>
      <c r="H56" s="39"/>
      <c r="I56" s="39"/>
      <c r="J56" s="39"/>
      <c r="K56" s="39"/>
      <c r="L56" s="39"/>
      <c r="Q56" s="25"/>
      <c r="R56" s="26"/>
    </row>
    <row r="57" spans="1:18" ht="18.75" x14ac:dyDescent="0.3">
      <c r="A57" s="16"/>
      <c r="B57" s="63"/>
      <c r="C57" s="37"/>
      <c r="D57" s="37"/>
      <c r="E57" s="37"/>
      <c r="H57" s="63"/>
      <c r="I57" s="37"/>
      <c r="J57" s="37"/>
      <c r="K57" s="37"/>
      <c r="N57" s="62"/>
      <c r="O57" s="62"/>
      <c r="P57" s="62"/>
      <c r="Q57" s="25"/>
      <c r="R57" s="26"/>
    </row>
    <row r="58" spans="1:18" ht="18.75" x14ac:dyDescent="0.3">
      <c r="B58" s="63"/>
      <c r="C58" s="37"/>
      <c r="D58" s="37"/>
      <c r="E58" s="37"/>
      <c r="H58" s="63"/>
      <c r="I58" s="37"/>
      <c r="J58" s="37"/>
      <c r="K58" s="37"/>
      <c r="L58" s="37"/>
      <c r="N58" s="62"/>
      <c r="O58" s="62"/>
      <c r="P58" s="62"/>
      <c r="Q58" s="25"/>
      <c r="R58" s="26"/>
    </row>
    <row r="59" spans="1:18" ht="18.75" x14ac:dyDescent="0.3">
      <c r="B59" s="63"/>
      <c r="C59" s="37"/>
      <c r="D59" s="37"/>
      <c r="E59" s="37"/>
      <c r="L59" s="37"/>
      <c r="Q59" s="25"/>
      <c r="R59" s="26"/>
    </row>
    <row r="60" spans="1:18" x14ac:dyDescent="0.25">
      <c r="Q60" s="25"/>
      <c r="R60" s="26"/>
    </row>
    <row r="61" spans="1:18" ht="18.75" x14ac:dyDescent="0.3">
      <c r="A61" s="31"/>
      <c r="Q61" s="25"/>
      <c r="R61" s="26"/>
    </row>
    <row r="62" spans="1:18" ht="18.75" x14ac:dyDescent="0.3">
      <c r="A62" s="16"/>
      <c r="B62" s="31"/>
      <c r="C62" s="31"/>
      <c r="D62" s="31"/>
      <c r="E62" s="31"/>
      <c r="H62" s="31"/>
      <c r="N62" s="31"/>
      <c r="O62" s="31"/>
      <c r="P62" s="31"/>
      <c r="Q62" s="25"/>
      <c r="R62" s="26"/>
    </row>
    <row r="63" spans="1:18" ht="18.75" x14ac:dyDescent="0.3">
      <c r="B63" s="31"/>
      <c r="C63" s="31"/>
      <c r="D63" s="31"/>
      <c r="E63" s="31"/>
      <c r="H63" s="39"/>
      <c r="I63" s="39"/>
      <c r="J63" s="39"/>
      <c r="K63" s="39"/>
      <c r="L63" s="39"/>
      <c r="Q63" s="25"/>
      <c r="R63" s="26"/>
    </row>
    <row r="64" spans="1:18" ht="18.75" x14ac:dyDescent="0.3">
      <c r="A64" s="16"/>
      <c r="B64" s="63"/>
      <c r="C64" s="37"/>
      <c r="D64" s="37"/>
      <c r="E64" s="37"/>
      <c r="H64" s="63"/>
      <c r="I64" s="37"/>
      <c r="J64" s="37"/>
      <c r="K64" s="37"/>
      <c r="N64" s="62"/>
      <c r="O64" s="62"/>
      <c r="P64" s="62"/>
      <c r="Q64" s="25"/>
      <c r="R64" s="26"/>
    </row>
    <row r="65" spans="1:18" ht="18.75" x14ac:dyDescent="0.3">
      <c r="B65" s="63"/>
      <c r="C65" s="37"/>
      <c r="D65" s="37"/>
      <c r="E65" s="37"/>
      <c r="H65" s="63"/>
      <c r="I65" s="37"/>
      <c r="J65" s="37"/>
      <c r="K65" s="37"/>
      <c r="L65" s="37"/>
      <c r="N65" s="62"/>
      <c r="O65" s="62"/>
      <c r="P65" s="62"/>
      <c r="Q65" s="25"/>
      <c r="R65" s="26"/>
    </row>
    <row r="66" spans="1:18" ht="18.75" x14ac:dyDescent="0.3">
      <c r="B66" s="63"/>
      <c r="C66" s="37"/>
      <c r="D66" s="37"/>
      <c r="E66" s="37"/>
      <c r="H66" s="63"/>
      <c r="I66" s="37"/>
      <c r="J66" s="37"/>
      <c r="K66" s="37"/>
      <c r="L66" s="37"/>
      <c r="N66" s="62"/>
      <c r="O66" s="62"/>
      <c r="P66" s="62"/>
      <c r="Q66" s="25"/>
      <c r="R66" s="26"/>
    </row>
    <row r="67" spans="1:18" ht="18.75" x14ac:dyDescent="0.3">
      <c r="B67" s="63"/>
      <c r="C67" s="37"/>
      <c r="D67" s="37"/>
      <c r="E67" s="64"/>
      <c r="H67" s="63"/>
      <c r="I67" s="37"/>
      <c r="J67" s="37"/>
      <c r="K67" s="37"/>
      <c r="L67" s="37"/>
      <c r="N67" s="62"/>
      <c r="O67" s="62"/>
      <c r="P67" s="62"/>
      <c r="Q67" s="25"/>
      <c r="R67" s="26"/>
    </row>
    <row r="68" spans="1:18" x14ac:dyDescent="0.25">
      <c r="Q68" s="25"/>
      <c r="R68" s="26"/>
    </row>
    <row r="69" spans="1:18" ht="18.75" x14ac:dyDescent="0.3">
      <c r="A69" s="31"/>
      <c r="Q69" s="25"/>
      <c r="R69" s="26"/>
    </row>
    <row r="70" spans="1:18" ht="18.75" x14ac:dyDescent="0.3">
      <c r="A70" s="16"/>
      <c r="B70" s="31"/>
      <c r="C70" s="31"/>
      <c r="D70" s="31"/>
      <c r="E70" s="31"/>
      <c r="H70" s="31"/>
      <c r="N70" s="31"/>
      <c r="O70" s="31"/>
      <c r="P70" s="31"/>
      <c r="Q70" s="25"/>
      <c r="R70" s="26"/>
    </row>
    <row r="71" spans="1:18" ht="18.75" x14ac:dyDescent="0.3">
      <c r="B71" s="31"/>
      <c r="C71" s="31"/>
      <c r="D71" s="31"/>
      <c r="E71" s="31"/>
      <c r="H71" s="39"/>
      <c r="I71" s="39"/>
      <c r="J71" s="39"/>
      <c r="K71" s="39"/>
      <c r="L71" s="39"/>
      <c r="Q71" s="25"/>
      <c r="R71" s="26"/>
    </row>
    <row r="72" spans="1:18" ht="18.75" x14ac:dyDescent="0.3">
      <c r="A72" s="16"/>
      <c r="B72" s="63"/>
      <c r="C72" s="37"/>
      <c r="D72" s="37"/>
      <c r="E72" s="37"/>
      <c r="H72" s="63"/>
      <c r="I72" s="37"/>
      <c r="J72" s="37"/>
      <c r="K72" s="37"/>
      <c r="N72" s="62"/>
      <c r="O72" s="62"/>
      <c r="P72" s="62"/>
      <c r="Q72" s="25"/>
      <c r="R72" s="26"/>
    </row>
    <row r="73" spans="1:18" ht="18.75" x14ac:dyDescent="0.3">
      <c r="B73" s="63"/>
      <c r="C73" s="37"/>
      <c r="D73" s="37"/>
      <c r="E73" s="37"/>
      <c r="H73" s="63"/>
      <c r="I73" s="37"/>
      <c r="J73" s="37"/>
      <c r="K73" s="37"/>
      <c r="N73" s="62"/>
      <c r="O73" s="62"/>
      <c r="P73" s="62"/>
      <c r="Q73" s="25"/>
      <c r="R73" s="26"/>
    </row>
    <row r="74" spans="1:18" ht="18.75" x14ac:dyDescent="0.3">
      <c r="B74" s="63"/>
      <c r="C74" s="37"/>
      <c r="H74" s="63"/>
      <c r="I74" s="37"/>
      <c r="N74" s="62"/>
      <c r="O74" s="62"/>
      <c r="P74" s="62"/>
      <c r="Q74" s="25"/>
      <c r="R74" s="26"/>
    </row>
  </sheetData>
  <mergeCells count="4">
    <mergeCell ref="I28:K28"/>
    <mergeCell ref="I29:K29"/>
    <mergeCell ref="C28:E28"/>
    <mergeCell ref="C29:E29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MENU</vt:lpstr>
      <vt:lpstr>PhieuDiem</vt:lpstr>
      <vt:lpstr>BangDiem</vt:lpstr>
      <vt:lpstr>ChamDiem</vt:lpstr>
      <vt:lpstr>BangDiem!Print_Area</vt:lpstr>
      <vt:lpstr>PhieuDiem!Print_Area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Dương Mạnh Quân</dc:creator>
  <cp:lastModifiedBy>Dương Mạnh Quân</cp:lastModifiedBy>
  <cp:lastPrinted>2026-09-29T04:58:14Z</cp:lastPrinted>
  <dcterms:created xsi:type="dcterms:W3CDTF">2026-05-09T08:39:08Z</dcterms:created>
  <dcterms:modified xsi:type="dcterms:W3CDTF">2026-09-29T04:58:23Z</dcterms:modified>
</cp:coreProperties>
</file>