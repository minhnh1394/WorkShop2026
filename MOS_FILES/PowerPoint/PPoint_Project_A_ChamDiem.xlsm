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igvietnamedu-my.sharepoint.com/personal/quan_dm_iigvietnam_edu_vn/Documents/Desktop/Demo_Test_PPoint_Project_A/"/>
    </mc:Choice>
  </mc:AlternateContent>
  <xr:revisionPtr revIDLastSave="15383" documentId="8_{F8DE12E2-8CCE-4F18-9BA4-45F94A60B87F}" xr6:coauthVersionLast="47" xr6:coauthVersionMax="47" xr10:uidLastSave="{F163880F-AE79-4A41-8233-33E48A47204F}"/>
  <bookViews>
    <workbookView xWindow="0" yWindow="0" windowWidth="12000" windowHeight="12900" activeTab="1" xr2:uid="{88297BD2-57ED-4C7A-89C4-E32F432C1215}"/>
  </bookViews>
  <sheets>
    <sheet name="MENU" sheetId="2" r:id="rId1"/>
    <sheet name="PhieuDiem" sheetId="21" r:id="rId2"/>
    <sheet name="PhieuDiemTong" sheetId="22" state="hidden" r:id="rId3"/>
    <sheet name="Chấm điểm" sheetId="18" r:id="rId4"/>
    <sheet name="Note" sheetId="19" state="hidden" r:id="rId5"/>
    <sheet name="Print" sheetId="17" state="hidden" r:id="rId6"/>
    <sheet name="Background" sheetId="1" state="hidden" r:id="rId7"/>
    <sheet name="Smart_Art" sheetId="3" state="hidden" r:id="rId8"/>
    <sheet name="Picture_Shape" sheetId="4" state="hidden" r:id="rId9"/>
    <sheet name="Transitions" sheetId="5" state="hidden" r:id="rId10"/>
    <sheet name="Animations" sheetId="6" state="hidden" r:id="rId11"/>
    <sheet name="Section" sheetId="7" state="hidden" r:id="rId12"/>
    <sheet name="Properties" sheetId="8" state="hidden" r:id="rId13"/>
    <sheet name="Format" sheetId="9" state="hidden" r:id="rId14"/>
    <sheet name="Zoom" sheetId="10" state="hidden" r:id="rId15"/>
    <sheet name="Chart" sheetId="11" state="hidden" r:id="rId16"/>
    <sheet name="Table" sheetId="12" state="hidden" r:id="rId17"/>
    <sheet name="3D_Model" sheetId="13" state="hidden" r:id="rId18"/>
    <sheet name="Link" sheetId="14" state="hidden" r:id="rId19"/>
    <sheet name="Media" sheetId="15" state="hidden" r:id="rId20"/>
    <sheet name="Header_Footer" sheetId="16" state="hidden" r:id="rId21"/>
    <sheet name="Sheet1" sheetId="20" state="hidden" r:id="rId22"/>
  </sheets>
  <functionGroups builtInGroupCount="19"/>
  <definedNames>
    <definedName name="_xleta.COUNT" hidden="1" xlm="1">#NAME?</definedName>
    <definedName name="_xleta.LEFT" hidden="1" xlm="1">#NAME?</definedName>
    <definedName name="_xleta.SINH" hidden="1" xlm="1">#NAME?</definedName>
    <definedName name="_xlnm.Print_Area" localSheetId="1">PhieuDiem!$A$1:$D$16</definedName>
    <definedName name="_xlnm.Print_Titles" localSheetId="2">PhieuDiemTong!$4:$4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" i="18" l="1"/>
  <c r="X3" i="18"/>
  <c r="X2" i="18"/>
  <c r="X4" i="18"/>
  <c r="X5" i="18"/>
  <c r="M32" i="18"/>
  <c r="R5" i="18" s="1"/>
  <c r="M23" i="18"/>
  <c r="M22" i="18"/>
  <c r="U4" i="18"/>
  <c r="M16" i="18"/>
  <c r="M15" i="18"/>
  <c r="M14" i="18"/>
  <c r="M10" i="18"/>
  <c r="M6" i="18"/>
  <c r="A5" i="21"/>
  <c r="S5" i="18" l="1"/>
  <c r="T5" i="18" s="1"/>
  <c r="I4" i="21"/>
  <c r="U6" i="18" l="1"/>
  <c r="U5" i="18"/>
  <c r="U2" i="18"/>
  <c r="U3" i="18"/>
  <c r="M9" i="18"/>
  <c r="A4" i="21"/>
  <c r="C65" i="22"/>
  <c r="C16" i="21"/>
  <c r="M7" i="18" l="1"/>
  <c r="M8" i="18"/>
  <c r="I18" i="11"/>
  <c r="I24" i="6"/>
  <c r="I3" i="4"/>
  <c r="I18" i="3"/>
  <c r="M38" i="18"/>
  <c r="M37" i="18"/>
  <c r="S2" i="18" l="1"/>
  <c r="R2" i="18"/>
  <c r="S3" i="18"/>
  <c r="R3" i="18"/>
  <c r="S6" i="18"/>
  <c r="T6" i="18" s="1"/>
  <c r="D15" i="21" s="1"/>
  <c r="R6" i="18"/>
  <c r="S4" i="18"/>
  <c r="R4" i="18"/>
  <c r="T3" i="18" l="1"/>
  <c r="D12" i="21" s="1"/>
  <c r="T4" i="18"/>
  <c r="D13" i="21" s="1"/>
  <c r="T2" i="18"/>
  <c r="D11" i="21" s="1"/>
  <c r="D14" i="21"/>
  <c r="T22" i="18" l="1"/>
  <c r="D16" i="21" l="1"/>
  <c r="A7" i="21" s="1"/>
</calcChain>
</file>

<file path=xl/sharedStrings.xml><?xml version="1.0" encoding="utf-8"?>
<sst xmlns="http://schemas.openxmlformats.org/spreadsheetml/2006/main" count="797" uniqueCount="519">
  <si>
    <t>Name</t>
  </si>
  <si>
    <t>Kiểm tra Smart Art</t>
  </si>
  <si>
    <t>Kiểm tra Transitions</t>
  </si>
  <si>
    <t>Fade</t>
  </si>
  <si>
    <t>Push</t>
  </si>
  <si>
    <t>Morph</t>
  </si>
  <si>
    <t>Wipe</t>
  </si>
  <si>
    <t>Split</t>
  </si>
  <si>
    <t>Reveal</t>
  </si>
  <si>
    <t>Random Bars</t>
  </si>
  <si>
    <t>Shape</t>
  </si>
  <si>
    <t>Cover</t>
  </si>
  <si>
    <t>Tên hiệu ứng</t>
  </si>
  <si>
    <t>Effect ID</t>
  </si>
  <si>
    <t>None</t>
  </si>
  <si>
    <t>Kiểm tra Animations</t>
  </si>
  <si>
    <t>Order</t>
  </si>
  <si>
    <t>Effect type</t>
  </si>
  <si>
    <t>Duration</t>
  </si>
  <si>
    <t>không có thông tin khi kiểm tra</t>
  </si>
  <si>
    <t>Kiểm tra Background</t>
  </si>
  <si>
    <t>Transparency:</t>
  </si>
  <si>
    <t>Fill Type Code:</t>
  </si>
  <si>
    <t>Display Master Graphics:</t>
  </si>
  <si>
    <t>Picture</t>
  </si>
  <si>
    <t>Effect</t>
  </si>
  <si>
    <t>Slide</t>
  </si>
  <si>
    <t xml:space="preserve">Tên file: </t>
  </si>
  <si>
    <t>ID</t>
  </si>
  <si>
    <t>Kiểm tra Picture</t>
  </si>
  <si>
    <t>Kiểu Smart Art</t>
  </si>
  <si>
    <t>Nội dung (List)</t>
  </si>
  <si>
    <t>Tham số kiểm tra</t>
  </si>
  <si>
    <t>Vị trí Slide</t>
  </si>
  <si>
    <t>Kết quả kiểm tra</t>
  </si>
  <si>
    <t>Slide 1</t>
  </si>
  <si>
    <t>Slide 2</t>
  </si>
  <si>
    <t>Slide 3</t>
  </si>
  <si>
    <t>Slide 4</t>
  </si>
  <si>
    <t>Note</t>
  </si>
  <si>
    <t>Quy trình</t>
  </si>
  <si>
    <t>Kiểm tra từng Slide (theo vòng lặp For với số thứ tự slide)</t>
  </si>
  <si>
    <t>Đưa ra kết quả về:</t>
  </si>
  <si>
    <t>Thời lượng chuyển trang</t>
  </si>
  <si>
    <t>Mã số (ID) của hiệu ứng chuyển trang</t>
  </si>
  <si>
    <t>Sau đó dùng thêm Function để chuyển Effect về Tên</t>
  </si>
  <si>
    <t>duration mặc định = 2s</t>
  </si>
  <si>
    <t>Sau đó dùng thêm Function để chuyển Effect type về Tên</t>
  </si>
  <si>
    <t>Kiểm tra cụ thể 1 Slide</t>
  </si>
  <si>
    <t>Trong Slide này xét từng Animation có trong Timeline</t>
  </si>
  <si>
    <t>Thứ tự trong Timeline, với Animation có nhóm sẽ tính riêng từng phần trong nhóm</t>
  </si>
  <si>
    <t>Object</t>
  </si>
  <si>
    <t>Đối tượng áp dụng animations</t>
  </si>
  <si>
    <t>Mã số (ID) của hiệu ứng animations được áp dụng</t>
  </si>
  <si>
    <t>Thời lượng của hiệu ứng</t>
  </si>
  <si>
    <t>Xét từng Shape có trong Slide. Nếu Shape nào ở dạng SmartArt thì lấy kết quả</t>
  </si>
  <si>
    <t>Kiểu SmartArt</t>
  </si>
  <si>
    <t>Nội dung List của SmartArt</t>
  </si>
  <si>
    <t>Nếu không có SmartArt thì hiển thị nội dung là "-"</t>
  </si>
  <si>
    <t>Xét các thuộc tính có liên quan tới Background của Slide:</t>
  </si>
  <si>
    <t>Fill Type Code</t>
  </si>
  <si>
    <t>Mã số (ID) của Fill trong phần Background</t>
  </si>
  <si>
    <t>Transparency</t>
  </si>
  <si>
    <t>Độ trong suốt của Fill</t>
  </si>
  <si>
    <t>Có sử dụng hình ảnh hay không</t>
  </si>
  <si>
    <t>Pattern fill</t>
  </si>
  <si>
    <t>Gradient fill</t>
  </si>
  <si>
    <t>Tên Shape</t>
  </si>
  <si>
    <t>Alt text</t>
  </si>
  <si>
    <t>Xét từng Shape có trong Slide. Nếu Shape nào ở dạng Picture thì lấy kết quả</t>
  </si>
  <si>
    <t>Tên của đối tượng trong ngăn Selection (Alt + F10)</t>
  </si>
  <si>
    <t>Alt Text</t>
  </si>
  <si>
    <t>Nội dung phần Alt text của hình ảnh</t>
  </si>
  <si>
    <t>Nếu không có Picture thì hiển thị nội dung là "-"</t>
  </si>
  <si>
    <t>Kiểm tra Section</t>
  </si>
  <si>
    <t>Tên Section</t>
  </si>
  <si>
    <t>Practice</t>
  </si>
  <si>
    <t>First slide of section</t>
  </si>
  <si>
    <t>Last slide of section</t>
  </si>
  <si>
    <t>Xem Slide đó thuộc Section nào</t>
  </si>
  <si>
    <t>Xác định phạm vi của Section: Từ Slide nào, đến Slide nào</t>
  </si>
  <si>
    <t>(from)</t>
  </si>
  <si>
    <t>(to)</t>
  </si>
  <si>
    <t>motion</t>
  </si>
  <si>
    <t>Motion paths: heart</t>
  </si>
  <si>
    <t>Entrance: Appear</t>
  </si>
  <si>
    <t>Entrance: Fly in</t>
  </si>
  <si>
    <t>Entrance: Shape</t>
  </si>
  <si>
    <t>Entrance: Fade</t>
  </si>
  <si>
    <t>Entrance: Random bars</t>
  </si>
  <si>
    <t>Entrance: Split</t>
  </si>
  <si>
    <t>Entrance: Wheel</t>
  </si>
  <si>
    <t>Entrance: Wipe</t>
  </si>
  <si>
    <t>Entrance: Bounce</t>
  </si>
  <si>
    <t>Entrance: Grow &amp; Turn</t>
  </si>
  <si>
    <t>Entrance: Swivel</t>
  </si>
  <si>
    <t>Entrance: Zoom</t>
  </si>
  <si>
    <t>Motion paths:Heart</t>
  </si>
  <si>
    <t>Kiểm tra Properties</t>
  </si>
  <si>
    <t>Title</t>
  </si>
  <si>
    <t>Category</t>
  </si>
  <si>
    <t>Mở file</t>
  </si>
  <si>
    <t>Kiểm tra các thông tin trong file</t>
  </si>
  <si>
    <t>Đóng file</t>
  </si>
  <si>
    <t>Font name</t>
  </si>
  <si>
    <t>Font size</t>
  </si>
  <si>
    <t>Font color</t>
  </si>
  <si>
    <t>Vị trí Shape</t>
  </si>
  <si>
    <t>Bold</t>
  </si>
  <si>
    <t>Italic</t>
  </si>
  <si>
    <t>Alignment</t>
  </si>
  <si>
    <t>Alignment ID</t>
  </si>
  <si>
    <t>Text</t>
  </si>
  <si>
    <t>Left</t>
  </si>
  <si>
    <t>Right</t>
  </si>
  <si>
    <t>Justify</t>
  </si>
  <si>
    <t>Center</t>
  </si>
  <si>
    <t>Kiểm tra Format</t>
  </si>
  <si>
    <t>Times New Roman</t>
  </si>
  <si>
    <t>demo</t>
  </si>
  <si>
    <t>test vba</t>
  </si>
  <si>
    <t>Kiểm tra 1 shape trong slide</t>
  </si>
  <si>
    <t>Xét theo số thứ tự của Shape</t>
  </si>
  <si>
    <t>Xác định các thuộc tính liên quan tới định dạng text trong shape</t>
  </si>
  <si>
    <t>Tên và Alt Text</t>
  </si>
  <si>
    <t>Tên ảnh 1</t>
  </si>
  <si>
    <t>Tên ảnh 2</t>
  </si>
  <si>
    <t>Pic1</t>
  </si>
  <si>
    <t>Pic2</t>
  </si>
  <si>
    <t>So sánh</t>
  </si>
  <si>
    <t>Match</t>
  </si>
  <si>
    <t>Kiểm tra các ảnh trong 1 slide</t>
  </si>
  <si>
    <t>Xét giá trị lề của ảnh</t>
  </si>
  <si>
    <t>Top - pic 1</t>
  </si>
  <si>
    <t>Top - pic 2</t>
  </si>
  <si>
    <t>Bottom - pic 1</t>
  </si>
  <si>
    <t>Bottom - pic 2</t>
  </si>
  <si>
    <t>Left - pic 1</t>
  </si>
  <si>
    <t>Left - pic 2</t>
  </si>
  <si>
    <t>Right - pic 1</t>
  </si>
  <si>
    <t>Right - pic 2</t>
  </si>
  <si>
    <t>Top</t>
  </si>
  <si>
    <t>Bottom = Top + Height</t>
  </si>
  <si>
    <t>Right = Left + Width</t>
  </si>
  <si>
    <t>Kiểm tra Zoom</t>
  </si>
  <si>
    <t>Object 1 Type</t>
  </si>
  <si>
    <t>Object 2 Type</t>
  </si>
  <si>
    <t>Object 3 Type</t>
  </si>
  <si>
    <t>Object 4 Type</t>
  </si>
  <si>
    <t>Object 5 Type</t>
  </si>
  <si>
    <t>Object 6 Type</t>
  </si>
  <si>
    <t>Icon</t>
  </si>
  <si>
    <t>3D Model</t>
  </si>
  <si>
    <t>Object 7 Type</t>
  </si>
  <si>
    <t>Object 8 Type</t>
  </si>
  <si>
    <t>Object 9 Type</t>
  </si>
  <si>
    <t>Object 10 Type</t>
  </si>
  <si>
    <t>Object 11 Type</t>
  </si>
  <si>
    <t>Textbox</t>
  </si>
  <si>
    <t>Zoom (slide, section)</t>
  </si>
  <si>
    <t>Auto Shape</t>
  </si>
  <si>
    <t>Chart</t>
  </si>
  <si>
    <t>Group</t>
  </si>
  <si>
    <t>Placeholder</t>
  </si>
  <si>
    <t>WordArt</t>
  </si>
  <si>
    <t>Media (video, audio)</t>
  </si>
  <si>
    <t>Table</t>
  </si>
  <si>
    <t>SmartArt</t>
  </si>
  <si>
    <t>Shape Type</t>
  </si>
  <si>
    <t>Chưa phân biệt được Slide Zoom và Section Zoom</t>
  </si>
  <si>
    <t>Chưa xác định được các thuộc tính liên quan</t>
  </si>
  <si>
    <t>STT</t>
  </si>
  <si>
    <t>Kiểm tra Chart</t>
  </si>
  <si>
    <t>Chart type</t>
  </si>
  <si>
    <t>Data Label info</t>
  </si>
  <si>
    <t>Ý nghĩa</t>
  </si>
  <si>
    <t>xlColumnClustered</t>
  </si>
  <si>
    <t>Cột đơn</t>
  </si>
  <si>
    <t>xlColumnStacked</t>
  </si>
  <si>
    <t>Cột chồng</t>
  </si>
  <si>
    <t>xlColumnStacked100</t>
  </si>
  <si>
    <t>Cột chồng 100%</t>
  </si>
  <si>
    <t>xlLineMarkers</t>
  </si>
  <si>
    <t>xlPie</t>
  </si>
  <si>
    <t>Đường có dấu chấm</t>
  </si>
  <si>
    <t>Tròn miếng</t>
  </si>
  <si>
    <t>xlLine</t>
  </si>
  <si>
    <t>Line thường</t>
  </si>
  <si>
    <t>xlLineStacked</t>
  </si>
  <si>
    <t>Line chồng (Stacked Line)</t>
  </si>
  <si>
    <t>xlXYScatter</t>
  </si>
  <si>
    <t>Phân tán</t>
  </si>
  <si>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</si>
  <si>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</si>
  <si>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</si>
  <si>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</si>
  <si>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</si>
  <si>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</si>
  <si>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</si>
  <si>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</si>
  <si>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Chart 9</t>
  </si>
  <si>
    <t>Chart 10</t>
  </si>
  <si>
    <t>Data Labels info</t>
  </si>
  <si>
    <t>Type ID</t>
  </si>
  <si>
    <t>Data Labels: No</t>
  </si>
  <si>
    <t>Stacked Line with Markers</t>
  </si>
  <si>
    <t>Above</t>
  </si>
  <si>
    <t>Below</t>
  </si>
  <si>
    <t>xlLineStackedMarkers</t>
  </si>
  <si>
    <t>outside end</t>
  </si>
  <si>
    <t>center</t>
  </si>
  <si>
    <t>inside base</t>
  </si>
  <si>
    <t>Doughnut</t>
  </si>
  <si>
    <t>xlDoughnut</t>
  </si>
  <si>
    <t>inside end</t>
  </si>
  <si>
    <t>Clustered Bar</t>
  </si>
  <si>
    <t>Stacked Bar</t>
  </si>
  <si>
    <t>100% Stacked Bar</t>
  </si>
  <si>
    <t>xlBarClustered</t>
  </si>
  <si>
    <t>xlBarStacked</t>
  </si>
  <si>
    <t>xlBarStacked100</t>
  </si>
  <si>
    <t>Data Table info</t>
  </si>
  <si>
    <t>Data Table: No</t>
  </si>
  <si>
    <t>NO</t>
  </si>
  <si>
    <t>Show Data Table With Legend Key</t>
  </si>
  <si>
    <t>Show Data Table No Legend Key</t>
  </si>
  <si>
    <t>Không Show Data Table</t>
  </si>
  <si>
    <t>xlFunnel</t>
  </si>
  <si>
    <t>Phễu (Funnel)</t>
  </si>
  <si>
    <t>Treemap</t>
  </si>
  <si>
    <t>Waterfall</t>
  </si>
  <si>
    <t>xlTreemap</t>
  </si>
  <si>
    <t>xlWaterfall</t>
  </si>
  <si>
    <t>Kiểm tra Table</t>
  </si>
  <si>
    <t>Số cột</t>
  </si>
  <si>
    <t>Số dòng</t>
  </si>
  <si>
    <t>Tên</t>
  </si>
  <si>
    <t>SL</t>
  </si>
  <si>
    <t>Tên tiêu đề 1</t>
  </si>
  <si>
    <t>Tên tiêu đề 2</t>
  </si>
  <si>
    <t>Tên tiêu đề 3</t>
  </si>
  <si>
    <t>Tên tiêu đề 4</t>
  </si>
  <si>
    <t>Tên tiêu đề 5</t>
  </si>
  <si>
    <t>Kiểm tra 3D Model</t>
  </si>
  <si>
    <t>Size</t>
  </si>
  <si>
    <t>Width</t>
  </si>
  <si>
    <t>Height</t>
  </si>
  <si>
    <t>Position</t>
  </si>
  <si>
    <t>Rotation</t>
  </si>
  <si>
    <t>X</t>
  </si>
  <si>
    <t>Y</t>
  </si>
  <si>
    <t>Z</t>
  </si>
  <si>
    <t>3D Model 1</t>
  </si>
  <si>
    <t>Avaiable</t>
  </si>
  <si>
    <t>Shape Format</t>
  </si>
  <si>
    <t>Fill - type</t>
  </si>
  <si>
    <t>Fill - color</t>
  </si>
  <si>
    <t>Outline - weight</t>
  </si>
  <si>
    <t>Outline - color (RGB)</t>
  </si>
  <si>
    <t>Shadow Effect</t>
  </si>
  <si>
    <t>Glow Effect</t>
  </si>
  <si>
    <t>Reflection Effect</t>
  </si>
  <si>
    <t>Outer: Bottom Right</t>
  </si>
  <si>
    <t>Outer: Bottom</t>
  </si>
  <si>
    <t>Outer: Bottom Left</t>
  </si>
  <si>
    <t>Outer: Right</t>
  </si>
  <si>
    <t>Outer: Left</t>
  </si>
  <si>
    <t>Outer: Center</t>
  </si>
  <si>
    <t>Outer: Top Right</t>
  </si>
  <si>
    <t>Outer: Top</t>
  </si>
  <si>
    <t>Outer: Top Left</t>
  </si>
  <si>
    <t>Inner: Top Left</t>
  </si>
  <si>
    <t>Inner: Top</t>
  </si>
  <si>
    <t>Inner: Top Right</t>
  </si>
  <si>
    <t>Inner: Left</t>
  </si>
  <si>
    <t>Inner: Center</t>
  </si>
  <si>
    <t>Inner: Right</t>
  </si>
  <si>
    <t>Inner: Bottom Left</t>
  </si>
  <si>
    <t>Inner: Bottom</t>
  </si>
  <si>
    <t>Inner: Bottom Right</t>
  </si>
  <si>
    <t>Fill Type ID</t>
  </si>
  <si>
    <t>Loại fill</t>
  </si>
  <si>
    <t>Solid</t>
  </si>
  <si>
    <t>Patterned</t>
  </si>
  <si>
    <t>Gradient</t>
  </si>
  <si>
    <t>Textured</t>
  </si>
  <si>
    <t>Background</t>
  </si>
  <si>
    <t>Màu đơn sắc</t>
  </si>
  <si>
    <t>Mẫu họa tiết</t>
  </si>
  <si>
    <t>Chuyển màu</t>
  </si>
  <si>
    <t>Cấu trúc bề mặt</t>
  </si>
  <si>
    <t>Dùng hình ảnh</t>
  </si>
  <si>
    <t>Dùng nền slide</t>
  </si>
  <si>
    <t>Glow Color</t>
  </si>
  <si>
    <t>Glow Radius</t>
  </si>
  <si>
    <t>Glow Transparency</t>
  </si>
  <si>
    <t>Hex = 826015</t>
  </si>
  <si>
    <t>Hex = 50B000</t>
  </si>
  <si>
    <t>Touching: Tight</t>
  </si>
  <si>
    <t>Touching: Half</t>
  </si>
  <si>
    <t>Touching: Full</t>
  </si>
  <si>
    <t>4 point: Tight</t>
  </si>
  <si>
    <t>8 point: Tight</t>
  </si>
  <si>
    <t>8 point: Half</t>
  </si>
  <si>
    <t>8 point: Full</t>
  </si>
  <si>
    <t>4 point: Half</t>
  </si>
  <si>
    <t>4 point: Full</t>
  </si>
  <si>
    <t>-</t>
  </si>
  <si>
    <t>Hex = 3271E9</t>
  </si>
  <si>
    <t>Outline - visible</t>
  </si>
  <si>
    <t>Kiểm tra Hyperlink</t>
  </si>
  <si>
    <t>Stt Shape</t>
  </si>
  <si>
    <t>Address</t>
  </si>
  <si>
    <t>Contact us</t>
  </si>
  <si>
    <t>SlideID, SlideIndex, SlideTitle</t>
  </si>
  <si>
    <t>Sub Address</t>
  </si>
  <si>
    <t>257,2,Slide 2</t>
  </si>
  <si>
    <t>Kiểm tra Media</t>
  </si>
  <si>
    <t>Length</t>
  </si>
  <si>
    <t>Volume</t>
  </si>
  <si>
    <t>Type</t>
  </si>
  <si>
    <t>Loop</t>
  </si>
  <si>
    <t>Hide while playing</t>
  </si>
  <si>
    <t>TRUE (-1), FALSE (0)</t>
  </si>
  <si>
    <t>Play Accross Slides</t>
  </si>
  <si>
    <t>Rewind after Playing</t>
  </si>
  <si>
    <t>TRUE (999), FALSE (0)</t>
  </si>
  <si>
    <t>Media Type</t>
  </si>
  <si>
    <t>Audio (2), Video (3)</t>
  </si>
  <si>
    <t>Media</t>
  </si>
  <si>
    <t>Zoom</t>
  </si>
  <si>
    <t>Kiểm tra Header &amp; Footer</t>
  </si>
  <si>
    <t>Footer text</t>
  </si>
  <si>
    <t>Footer visible</t>
  </si>
  <si>
    <t>footer center</t>
  </si>
  <si>
    <t>Slide number</t>
  </si>
  <si>
    <t>Date Time</t>
  </si>
  <si>
    <t>No</t>
  </si>
  <si>
    <t>Yes</t>
  </si>
  <si>
    <t>Yes (-1), No (0)</t>
  </si>
  <si>
    <t>Vòng lặp kiểm tra từng slide trong file</t>
  </si>
  <si>
    <t>Với mỗi Slide sẽ kiểm tra các thiết lập trong Footer:</t>
  </si>
  <si>
    <t>Footer: Nếu có footer thì sẽ xem cả nội dung text</t>
  </si>
  <si>
    <t>Kiểm tra toàn bộ các Slide</t>
  </si>
  <si>
    <t>Kiểm tra 1 Slide cụ thể</t>
  </si>
  <si>
    <t>Output Type</t>
  </si>
  <si>
    <t>Number of Copies</t>
  </si>
  <si>
    <t>Frame Slides</t>
  </si>
  <si>
    <t>Fit to Page</t>
  </si>
  <si>
    <t>Color Type</t>
  </si>
  <si>
    <t>Color</t>
  </si>
  <si>
    <t>Grayscale</t>
  </si>
  <si>
    <t>Full Page Slides</t>
  </si>
  <si>
    <t>Notes Pages</t>
  </si>
  <si>
    <t>Outline</t>
  </si>
  <si>
    <t>Handout - 1 Slide</t>
  </si>
  <si>
    <t>Handout - 2 Slides</t>
  </si>
  <si>
    <t>Handout - 3 Slides</t>
  </si>
  <si>
    <t>Handout - 4 Slides</t>
  </si>
  <si>
    <t>Handout - 6 Slides</t>
  </si>
  <si>
    <t>Handout - 9 Slides</t>
  </si>
  <si>
    <t>Có nhiều Slide trong 1 trang giấy</t>
  </si>
  <si>
    <t>Chỉ có 1 Slide trong 1 trang giấy</t>
  </si>
  <si>
    <t>Orientation</t>
  </si>
  <si>
    <t>Landscape</t>
  </si>
  <si>
    <t>Print</t>
  </si>
  <si>
    <t>Page Setup</t>
  </si>
  <si>
    <t>Slide Size</t>
  </si>
  <si>
    <t>1 inch</t>
  </si>
  <si>
    <t>1 cm</t>
  </si>
  <si>
    <t>Quy đổi đơn vị</t>
  </si>
  <si>
    <t>On Screen (4:3)</t>
  </si>
  <si>
    <t>Letter (8.5x11 inch)</t>
  </si>
  <si>
    <t>A4 (210x297mm)</t>
  </si>
  <si>
    <t>35mm</t>
  </si>
  <si>
    <t>On Screen (16:9)</t>
  </si>
  <si>
    <t>On Screen (16:10)</t>
  </si>
  <si>
    <t>Custom</t>
  </si>
  <si>
    <t>Widescreen</t>
  </si>
  <si>
    <t>A3 (35.56x26.67cm)</t>
  </si>
  <si>
    <t>Overhead</t>
  </si>
  <si>
    <t>Banner</t>
  </si>
  <si>
    <t>Kiểm tra Print</t>
  </si>
  <si>
    <t>First Slide Number</t>
  </si>
  <si>
    <t>(Number Slide From)</t>
  </si>
  <si>
    <t>BÀI KIỂM TRA POWER POINT - PROJECT 1</t>
  </si>
  <si>
    <t>Stt Ảnh</t>
  </si>
  <si>
    <t>Google Shape;288;p32</t>
  </si>
  <si>
    <t>Bản đồ du lịch</t>
  </si>
  <si>
    <t>Đáp án</t>
  </si>
  <si>
    <t>Bottom</t>
  </si>
  <si>
    <t>Horizontal Bullet List</t>
  </si>
  <si>
    <t xml:space="preserve">- Di chuyển_x000D_
- 2.000.000 vnđ_x000D_
- Chỗ ở_x000D_
- 1.500.000 vnđ_x000D_
- Ăn uống_x000D_
- 1.000.000 vnđ_x000D_
- Tham quan_x000D_
- 600.000 vnđ_x000D_
- Mua quà_x000D_
- 1.000.000 vnđ_x000D_
</t>
  </si>
  <si>
    <t>No Title</t>
  </si>
  <si>
    <t>3D Pie</t>
  </si>
  <si>
    <t>Vòng lặp nhiều chart trong 1 Slide</t>
  </si>
  <si>
    <t>Xét 1 Chart cụ thể</t>
  </si>
  <si>
    <t>Tên chart</t>
  </si>
  <si>
    <t>Chart Style</t>
  </si>
  <si>
    <t>Google Shape;275;p31</t>
  </si>
  <si>
    <t>Vòng lặp nhiều Shape trong 1 Slide</t>
  </si>
  <si>
    <t>Kiểm tra 1 Shape cụ thể</t>
  </si>
  <si>
    <t>Slide 5</t>
  </si>
  <si>
    <t>Slide 6</t>
  </si>
  <si>
    <t>Slide 7</t>
  </si>
  <si>
    <t>Slide 8</t>
  </si>
  <si>
    <t>Slide 9</t>
  </si>
  <si>
    <t>Slide 10</t>
  </si>
  <si>
    <t>Slide 11</t>
  </si>
  <si>
    <t>Slide 12</t>
  </si>
  <si>
    <t>Slide 13</t>
  </si>
  <si>
    <t>Slide 14</t>
  </si>
  <si>
    <t>Objective</t>
  </si>
  <si>
    <t>Chấm điểm</t>
  </si>
  <si>
    <t>Câu 1</t>
  </si>
  <si>
    <t>Yêu cầu</t>
  </si>
  <si>
    <t>Check</t>
  </si>
  <si>
    <t>Điểm</t>
  </si>
  <si>
    <t>Câu</t>
  </si>
  <si>
    <t>Số y/c</t>
  </si>
  <si>
    <t>Làm đúng</t>
  </si>
  <si>
    <t>Câu 2</t>
  </si>
  <si>
    <t>Câu 3</t>
  </si>
  <si>
    <t>Câu 4</t>
  </si>
  <si>
    <t>Câu 5</t>
  </si>
  <si>
    <t>Total</t>
  </si>
  <si>
    <t>Kiểm tra Comment</t>
  </si>
  <si>
    <t>Kiểm tra Link - Comment</t>
  </si>
  <si>
    <t>Author</t>
  </si>
  <si>
    <t>Date</t>
  </si>
  <si>
    <t>Hà Đức Trung</t>
  </si>
  <si>
    <t>Sửa nội dung tiêu đề</t>
  </si>
  <si>
    <t>Collated</t>
  </si>
  <si>
    <t>Print Range</t>
  </si>
  <si>
    <t>Print Range: Other (All or Selection)</t>
  </si>
  <si>
    <t>Uncollated</t>
  </si>
  <si>
    <t>ô_KQ</t>
  </si>
  <si>
    <t>Ghi chú</t>
  </si>
  <si>
    <t>Những nội dung chưa chấm điểm được</t>
  </si>
  <si>
    <t>1. Zoom</t>
  </si>
  <si>
    <t>Slide Zoom</t>
  </si>
  <si>
    <t>Section Zoom</t>
  </si>
  <si>
    <t>Summary Zoom</t>
  </si>
  <si>
    <t>Chỉ xác định được kiểu Shape là -2 (tạm phân loại là Zoom, chưa chi tiết được các thuộc tính trong Zoom)</t>
  </si>
  <si>
    <t>2. View &gt; Handout Master</t>
  </si>
  <si>
    <t>Chưa xác định được các thuộc tính của Handout Master</t>
  </si>
  <si>
    <t>Range_ChamDiem</t>
  </si>
  <si>
    <t>Layout Names in Slide Master</t>
  </si>
  <si>
    <t>Title Slide</t>
  </si>
  <si>
    <t>Title and Content</t>
  </si>
  <si>
    <t>Title Only</t>
  </si>
  <si>
    <t>Picture and Text</t>
  </si>
  <si>
    <t>Section Header</t>
  </si>
  <si>
    <t>Two Content</t>
  </si>
  <si>
    <t>Left_Content</t>
  </si>
  <si>
    <t>Right_Content</t>
  </si>
  <si>
    <t>Two Comparison</t>
  </si>
  <si>
    <t>Three Comparison</t>
  </si>
  <si>
    <t>Right_Corner</t>
  </si>
  <si>
    <t>Left_Corner</t>
  </si>
  <si>
    <t>Blank</t>
  </si>
  <si>
    <t>Webdings</t>
  </si>
  <si>
    <t>font</t>
  </si>
  <si>
    <t>code</t>
  </si>
  <si>
    <t>Font Size</t>
  </si>
  <si>
    <t>Font Color (HEX)</t>
  </si>
  <si>
    <t>Chart Color</t>
  </si>
  <si>
    <t>Tên section</t>
  </si>
  <si>
    <t>From</t>
  </si>
  <si>
    <t>To</t>
  </si>
  <si>
    <t xml:space="preserve"> </t>
  </si>
  <si>
    <t>PHIẾU CHẤM ĐIỂM</t>
  </si>
  <si>
    <t>KIỂM TRA GIỮA KỲ - POWER POINT</t>
  </si>
  <si>
    <t>Họ tên</t>
  </si>
  <si>
    <t>Bảng điểm chi tiết</t>
  </si>
  <si>
    <t>Câu hỏi</t>
  </si>
  <si>
    <t>Đạt</t>
  </si>
  <si>
    <t>Tổng cộng</t>
  </si>
  <si>
    <t>Lớp</t>
  </si>
  <si>
    <t>Ngày sinh</t>
  </si>
  <si>
    <t>Lưu phiếu điểm
(PDF)</t>
  </si>
  <si>
    <t>Hướng dẫn</t>
  </si>
  <si>
    <t>Bước 1: Chọn trước folder lưu phiếu điểm</t>
  </si>
  <si>
    <t>Bước 2: Thực hiện chấm điểm</t>
  </si>
  <si>
    <t>Bấm nút "Chọn Folder lưu"</t>
  </si>
  <si>
    <t>Duyệt tìm tới vị trí folder sử dụng để lưu phiếu điểm</t>
  </si>
  <si>
    <t>Bấm ok =&gt; Địa chỉ folder sẽ được ghi tại ô D3</t>
  </si>
  <si>
    <t>Bấm nút "Chấm điểm" =&gt; Mở ra cửa sổ duyệt tìm file</t>
  </si>
  <si>
    <t>Duyệt tìm tới nơi lưu các file PowerPoint cần chấm điểm</t>
  </si>
  <si>
    <t>Chọn các file cần chấm, có thể chọn nhiều file cùng lúc. Nếu muốn chọn tất cả các file trong thư mục thì nhấn Ctrl+A</t>
  </si>
  <si>
    <t>Kiểm tra lại kết quả trong folder lưu phiếu điểm</t>
  </si>
  <si>
    <t>Chờ code chạy cho tới khi hoàn thành, hiện thông báo Done! (mỗi bài mất khoảng 3-5s để chấm - trong thời gian chấm không thực hiện bất cứ hành động nào khác)</t>
  </si>
  <si>
    <t>Tên Slide</t>
  </si>
  <si>
    <t>Arial</t>
  </si>
  <si>
    <r>
      <t>Trong trang chiếu số 4</t>
    </r>
    <r>
      <rPr>
        <b/>
        <sz val="14"/>
        <color theme="1"/>
        <rFont val="Times New Roman"/>
        <family val="1"/>
      </rPr>
      <t xml:space="preserve"> (Most Popular)</t>
    </r>
    <r>
      <rPr>
        <sz val="14"/>
        <color theme="1"/>
        <rFont val="Times New Roman"/>
        <family val="1"/>
      </rPr>
      <t>, áp dụng định dạng cho phần tiêu đề giống với các trang chiếu khác.</t>
    </r>
  </si>
  <si>
    <r>
      <t>Trong trang chiếu số 2 (</t>
    </r>
    <r>
      <rPr>
        <b/>
        <sz val="14"/>
        <color theme="1"/>
        <rFont val="Times New Roman"/>
        <family val="1"/>
      </rPr>
      <t>Adventurous Trails!)</t>
    </r>
    <r>
      <rPr>
        <sz val="14"/>
        <color theme="1"/>
        <rFont val="Times New Roman"/>
        <family val="1"/>
      </rPr>
      <t xml:space="preserve">, áp dụng hiệu ứng cho hình ảnh (Picture Effects) là </t>
    </r>
    <r>
      <rPr>
        <b/>
        <sz val="14"/>
        <color theme="1"/>
        <rFont val="Times New Roman"/>
        <family val="1"/>
      </rPr>
      <t>Soft Edges - 5 Point</t>
    </r>
    <r>
      <rPr>
        <sz val="14"/>
        <color theme="1"/>
        <rFont val="Times New Roman"/>
        <family val="1"/>
      </rPr>
      <t>.</t>
    </r>
  </si>
  <si>
    <r>
      <t>Đổi tên Section "</t>
    </r>
    <r>
      <rPr>
        <b/>
        <sz val="14"/>
        <color theme="1"/>
        <rFont val="Times New Roman"/>
        <family val="1"/>
      </rPr>
      <t>Part 2</t>
    </r>
    <r>
      <rPr>
        <sz val="14"/>
        <color theme="1"/>
        <rFont val="Times New Roman"/>
        <family val="1"/>
      </rPr>
      <t>" thành "</t>
    </r>
    <r>
      <rPr>
        <b/>
        <sz val="14"/>
        <color theme="1"/>
        <rFont val="Times New Roman"/>
        <family val="1"/>
      </rPr>
      <t>Other</t>
    </r>
    <r>
      <rPr>
        <sz val="14"/>
        <color theme="1"/>
        <rFont val="Times New Roman"/>
        <family val="1"/>
      </rPr>
      <t>"</t>
    </r>
  </si>
  <si>
    <r>
      <t>Trong trang chiếu số 3 (</t>
    </r>
    <r>
      <rPr>
        <b/>
        <sz val="14"/>
        <color theme="1"/>
        <rFont val="Times New Roman"/>
        <family val="1"/>
      </rPr>
      <t>Why Mountain Bike Moab, Utah?</t>
    </r>
    <r>
      <rPr>
        <sz val="14"/>
        <color theme="1"/>
        <rFont val="Times New Roman"/>
        <family val="1"/>
      </rPr>
      <t>), thêm nhãn số liệu (Data Label) vào biểu đồ, vị trí đặt ở phía trên bên ngoài đỉnh cột.</t>
    </r>
  </si>
  <si>
    <r>
      <t xml:space="preserve">Trong trang chiếu số 1, hãy đặt độ trong suốt cho hình nền (Background) là </t>
    </r>
    <r>
      <rPr>
        <b/>
        <sz val="14"/>
        <color theme="1"/>
        <rFont val="Times New Roman"/>
        <family val="1"/>
      </rPr>
      <t>0%</t>
    </r>
  </si>
  <si>
    <t>TRẢI NGHIỆM MOS POWER POINT - PROJECT A</t>
  </si>
  <si>
    <t>Title 1</t>
  </si>
  <si>
    <t>MyPicture</t>
  </si>
  <si>
    <t>Adventurous Trails!</t>
  </si>
  <si>
    <t>Radius</t>
  </si>
  <si>
    <t>PPoint</t>
  </si>
  <si>
    <t>Project</t>
  </si>
  <si>
    <t>A</t>
  </si>
  <si>
    <t>C:\Users\quan.dm\OneDrive - IIG Viet Nam\Desktop\Demo_Test_PPoint_Project_A\PDF</t>
  </si>
  <si>
    <t>PPoint_Project_A_KetQua</t>
  </si>
  <si>
    <t>Mountain Biking</t>
  </si>
  <si>
    <t>Part 1</t>
  </si>
  <si>
    <t>Other</t>
  </si>
  <si>
    <t>Why Mountain Bike Moab, Utah?</t>
  </si>
  <si>
    <t>Clustered Column</t>
  </si>
  <si>
    <t>Outside End</t>
  </si>
  <si>
    <t>Data Label</t>
  </si>
  <si>
    <t>Mountian Biking</t>
  </si>
  <si>
    <t>Fill Type</t>
  </si>
  <si>
    <t>Transparency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</si>
</sst>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Times New Roman"/>
      <family val="2"/>
    </font>
    <font>
      <b/>
      <sz val="13"/>
      <color theme="3"/>
      <name val="Times New Roman"/>
      <family val="2"/>
    </font>
    <font>
      <sz val="8"/>
      <name val="Times New Roman"/>
      <family val="2"/>
    </font>
    <font>
      <sz val="14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sz val="14"/>
      <color theme="6"/>
      <name val="Times New Roman"/>
      <family val="2"/>
    </font>
    <font>
      <b/>
      <sz val="18"/>
      <color theme="3"/>
      <name val="Times New Roman"/>
      <family val="2"/>
    </font>
    <font>
      <b/>
      <sz val="13"/>
      <color theme="1"/>
      <name val="Times New Roman"/>
      <family val="1"/>
    </font>
    <font>
      <sz val="16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i/>
      <sz val="12"/>
      <color rgb="FFFF0000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sz val="14"/>
      <color theme="6"/>
      <name val="Times New Roman"/>
      <family val="1"/>
    </font>
    <font>
      <sz val="11"/>
      <color theme="6"/>
      <name val="Times New Roman"/>
      <family val="1"/>
    </font>
    <font>
      <sz val="13"/>
      <color theme="6"/>
      <name val="Times New Roman"/>
      <family val="1"/>
    </font>
    <font>
      <sz val="14"/>
      <color rgb="FFFF0000"/>
      <name val="Times New Roman"/>
      <family val="2"/>
    </font>
    <font>
      <b/>
      <sz val="15"/>
      <color theme="3"/>
      <name val="Times New Roman"/>
      <family val="2"/>
    </font>
    <font>
      <sz val="11"/>
      <color rgb="FFFF0000"/>
      <name val="Times New Roman"/>
      <family val="2"/>
    </font>
    <font>
      <u/>
      <sz val="11"/>
      <color theme="10"/>
      <name val="Times New Roman"/>
      <family val="2"/>
    </font>
    <font>
      <u/>
      <sz val="14"/>
      <color theme="10"/>
      <name val="Times New Roman"/>
      <family val="2"/>
    </font>
    <font>
      <sz val="11"/>
      <color theme="1"/>
      <name val="Times New Roman"/>
      <family val="2"/>
    </font>
    <font>
      <b/>
      <sz val="14"/>
      <color theme="6"/>
      <name val="Times New Roman"/>
      <family val="1"/>
    </font>
    <font>
      <b/>
      <sz val="14"/>
      <color theme="8"/>
      <name val="Times New Roman"/>
      <family val="1"/>
    </font>
    <font>
      <sz val="18"/>
      <color theme="3"/>
      <name val="Aptos Display"/>
      <family val="2"/>
      <scheme val="major"/>
    </font>
    <font>
      <b/>
      <sz val="18"/>
      <color theme="3"/>
      <name val="Times New Roman"/>
      <family val="1"/>
    </font>
    <font>
      <b/>
      <sz val="16"/>
      <color theme="3"/>
      <name val="Times New Roman"/>
      <family val="2"/>
    </font>
    <font>
      <b/>
      <sz val="11"/>
      <color theme="1"/>
      <name val="Times New Roman"/>
      <family val="2"/>
    </font>
    <font>
      <sz val="14"/>
      <name val="Times New Roman"/>
      <family val="1"/>
    </font>
    <font>
      <sz val="12"/>
      <color theme="1"/>
      <name val="Times New Roman"/>
      <family val="2"/>
    </font>
    <font>
      <b/>
      <sz val="12"/>
      <color theme="1"/>
      <name val="Times New Roman"/>
      <family val="2"/>
    </font>
    <font>
      <i/>
      <sz val="14"/>
      <color theme="1"/>
      <name val="Times New Roman"/>
      <family val="1"/>
    </font>
    <font>
      <sz val="11"/>
      <name val="Times New Roman"/>
      <family val="1"/>
    </font>
    <font>
      <sz val="14"/>
      <name val="Times New Roman"/>
      <family val="2"/>
    </font>
    <font>
      <sz val="11"/>
      <name val="Times New Roman"/>
      <family val="2"/>
    </font>
    <font>
      <b/>
      <sz val="14"/>
      <color theme="1"/>
      <name val="Times New Roman"/>
      <family val="2"/>
    </font>
    <font>
      <b/>
      <sz val="16"/>
      <color theme="1"/>
      <name val="Times New Roman"/>
      <family val="1"/>
    </font>
    <font>
      <b/>
      <sz val="18"/>
      <color theme="1" tint="0.1499984740745262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7">
    <xf numFmtId="0" fontId="0" fillId="0" borderId="0"/>
    <xf numFmtId="0" fontId="1" fillId="0" borderId="1" applyNumberFormat="0" applyFill="0" applyAlignment="0" applyProtection="0"/>
    <xf numFmtId="0" fontId="21" fillId="0" borderId="8" applyNumberFormat="0" applyFill="0" applyAlignment="0" applyProtection="0"/>
    <xf numFmtId="0" fontId="23" fillId="0" borderId="0" applyNumberFormat="0" applyFill="0" applyBorder="0" applyAlignment="0" applyProtection="0"/>
    <xf numFmtId="9" fontId="2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1" fillId="0" borderId="15" applyNumberFormat="0" applyFill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3" xfId="0" applyFont="1" applyBorder="1"/>
    <xf numFmtId="0" fontId="0" fillId="0" borderId="4" xfId="0" applyBorder="1"/>
    <xf numFmtId="0" fontId="5" fillId="2" borderId="2" xfId="0" applyFont="1" applyFill="1" applyBorder="1"/>
    <xf numFmtId="0" fontId="0" fillId="2" borderId="2" xfId="0" applyFill="1" applyBorder="1"/>
    <xf numFmtId="0" fontId="7" fillId="0" borderId="5" xfId="0" applyFont="1" applyBorder="1" applyAlignment="1">
      <alignment vertical="top"/>
    </xf>
    <xf numFmtId="0" fontId="3" fillId="0" borderId="5" xfId="0" applyFont="1" applyBorder="1" applyAlignment="1">
      <alignment vertical="top" wrapText="1"/>
    </xf>
    <xf numFmtId="0" fontId="5" fillId="3" borderId="2" xfId="0" applyFont="1" applyFill="1" applyBorder="1"/>
    <xf numFmtId="0" fontId="3" fillId="3" borderId="2" xfId="0" applyFont="1" applyFill="1" applyBorder="1"/>
    <xf numFmtId="0" fontId="8" fillId="0" borderId="0" xfId="1" applyFont="1" applyBorder="1"/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/>
    <xf numFmtId="0" fontId="10" fillId="0" borderId="0" xfId="0" applyFont="1"/>
    <xf numFmtId="0" fontId="11" fillId="4" borderId="2" xfId="0" applyFont="1" applyFill="1" applyBorder="1"/>
    <xf numFmtId="0" fontId="12" fillId="0" borderId="0" xfId="0" applyFont="1"/>
    <xf numFmtId="0" fontId="11" fillId="5" borderId="2" xfId="0" applyFont="1" applyFill="1" applyBorder="1" applyAlignment="1">
      <alignment horizontal="left"/>
    </xf>
    <xf numFmtId="0" fontId="14" fillId="0" borderId="0" xfId="0" applyFont="1" applyAlignment="1">
      <alignment horizontal="left" indent="1"/>
    </xf>
    <xf numFmtId="0" fontId="15" fillId="0" borderId="0" xfId="0" applyFont="1"/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2" fillId="0" borderId="6" xfId="0" applyFont="1" applyBorder="1"/>
    <xf numFmtId="0" fontId="13" fillId="0" borderId="7" xfId="0" applyFont="1" applyBorder="1" applyAlignment="1">
      <alignment horizontal="center"/>
    </xf>
    <xf numFmtId="0" fontId="12" fillId="0" borderId="7" xfId="0" applyFont="1" applyBorder="1"/>
    <xf numFmtId="0" fontId="16" fillId="0" borderId="0" xfId="0" applyFont="1" applyAlignment="1">
      <alignment horizontal="left" indent="1"/>
    </xf>
    <xf numFmtId="0" fontId="3" fillId="0" borderId="5" xfId="0" applyFont="1" applyBorder="1"/>
    <xf numFmtId="0" fontId="7" fillId="0" borderId="5" xfId="0" applyFont="1" applyBorder="1"/>
    <xf numFmtId="0" fontId="7" fillId="0" borderId="5" xfId="0" applyFont="1" applyBorder="1" applyAlignment="1">
      <alignment horizontal="center"/>
    </xf>
    <xf numFmtId="9" fontId="7" fillId="0" borderId="5" xfId="0" applyNumberFormat="1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7" xfId="0" applyFont="1" applyBorder="1"/>
    <xf numFmtId="0" fontId="18" fillId="0" borderId="7" xfId="0" applyFont="1" applyBorder="1"/>
    <xf numFmtId="0" fontId="12" fillId="0" borderId="7" xfId="0" applyFont="1" applyBorder="1" applyAlignment="1">
      <alignment horizontal="center"/>
    </xf>
    <xf numFmtId="0" fontId="17" fillId="0" borderId="6" xfId="0" applyFont="1" applyBorder="1"/>
    <xf numFmtId="0" fontId="17" fillId="0" borderId="6" xfId="0" applyFont="1" applyBorder="1" applyAlignment="1">
      <alignment horizontal="center"/>
    </xf>
    <xf numFmtId="0" fontId="17" fillId="0" borderId="7" xfId="0" applyFont="1" applyBorder="1"/>
    <xf numFmtId="0" fontId="17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14" fontId="0" fillId="0" borderId="0" xfId="0" applyNumberFormat="1"/>
    <xf numFmtId="0" fontId="7" fillId="0" borderId="5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2" borderId="2" xfId="0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18" fillId="0" borderId="7" xfId="0" applyFont="1" applyBorder="1" applyAlignment="1">
      <alignment horizontal="left"/>
    </xf>
    <xf numFmtId="0" fontId="7" fillId="6" borderId="5" xfId="0" applyFont="1" applyFill="1" applyBorder="1" applyAlignment="1">
      <alignment horizontal="center"/>
    </xf>
    <xf numFmtId="0" fontId="11" fillId="2" borderId="2" xfId="0" applyFont="1" applyFill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21" fillId="0" borderId="0" xfId="2" applyBorder="1"/>
    <xf numFmtId="0" fontId="3" fillId="7" borderId="5" xfId="0" applyFont="1" applyFill="1" applyBorder="1"/>
    <xf numFmtId="0" fontId="7" fillId="7" borderId="5" xfId="0" applyFont="1" applyFill="1" applyBorder="1"/>
    <xf numFmtId="0" fontId="22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0" fontId="24" fillId="0" borderId="0" xfId="3" applyFont="1"/>
    <xf numFmtId="0" fontId="8" fillId="0" borderId="0" xfId="1" applyFont="1" applyBorder="1" applyAlignment="1">
      <alignment horizontal="left" indent="4"/>
    </xf>
    <xf numFmtId="0" fontId="11" fillId="5" borderId="2" xfId="0" applyFont="1" applyFill="1" applyBorder="1" applyAlignment="1">
      <alignment horizontal="center"/>
    </xf>
    <xf numFmtId="0" fontId="11" fillId="5" borderId="2" xfId="0" applyFont="1" applyFill="1" applyBorder="1"/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/>
    <xf numFmtId="0" fontId="11" fillId="0" borderId="5" xfId="0" applyFont="1" applyBorder="1" applyAlignment="1">
      <alignment horizontal="center"/>
    </xf>
    <xf numFmtId="0" fontId="0" fillId="0" borderId="5" xfId="0" applyBorder="1"/>
    <xf numFmtId="0" fontId="5" fillId="9" borderId="9" xfId="0" applyFont="1" applyFill="1" applyBorder="1"/>
    <xf numFmtId="0" fontId="26" fillId="9" borderId="9" xfId="0" applyFont="1" applyFill="1" applyBorder="1" applyAlignment="1">
      <alignment horizontal="left"/>
    </xf>
    <xf numFmtId="0" fontId="24" fillId="0" borderId="0" xfId="3" quotePrefix="1" applyFont="1"/>
    <xf numFmtId="0" fontId="6" fillId="0" borderId="3" xfId="0" applyFont="1" applyBorder="1" applyAlignment="1">
      <alignment horizontal="center"/>
    </xf>
    <xf numFmtId="0" fontId="13" fillId="0" borderId="6" xfId="0" applyFont="1" applyBorder="1"/>
    <xf numFmtId="0" fontId="13" fillId="0" borderId="7" xfId="0" applyFont="1" applyBorder="1"/>
    <xf numFmtId="11" fontId="7" fillId="0" borderId="5" xfId="0" applyNumberFormat="1" applyFont="1" applyBorder="1"/>
    <xf numFmtId="20" fontId="7" fillId="0" borderId="5" xfId="0" applyNumberFormat="1" applyFont="1" applyBorder="1" applyAlignment="1">
      <alignment horizontal="left"/>
    </xf>
    <xf numFmtId="9" fontId="7" fillId="0" borderId="5" xfId="4" applyFont="1" applyBorder="1" applyAlignment="1">
      <alignment horizontal="left"/>
    </xf>
    <xf numFmtId="0" fontId="7" fillId="0" borderId="5" xfId="4" applyNumberFormat="1" applyFont="1" applyBorder="1" applyAlignment="1">
      <alignment horizontal="left"/>
    </xf>
    <xf numFmtId="0" fontId="11" fillId="5" borderId="0" xfId="0" applyFont="1" applyFill="1" applyAlignment="1">
      <alignment horizontal="left"/>
    </xf>
    <xf numFmtId="0" fontId="3" fillId="0" borderId="5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left"/>
    </xf>
    <xf numFmtId="0" fontId="20" fillId="0" borderId="10" xfId="0" applyFont="1" applyBorder="1"/>
    <xf numFmtId="0" fontId="20" fillId="0" borderId="11" xfId="0" applyFont="1" applyBorder="1"/>
    <xf numFmtId="0" fontId="0" fillId="0" borderId="11" xfId="0" applyBorder="1"/>
    <xf numFmtId="0" fontId="5" fillId="9" borderId="2" xfId="0" applyFont="1" applyFill="1" applyBorder="1"/>
    <xf numFmtId="0" fontId="0" fillId="9" borderId="2" xfId="0" applyFill="1" applyBorder="1"/>
    <xf numFmtId="0" fontId="19" fillId="0" borderId="0" xfId="0" applyFont="1" applyAlignment="1">
      <alignment horizontal="center"/>
    </xf>
    <xf numFmtId="0" fontId="19" fillId="0" borderId="0" xfId="0" applyFont="1"/>
    <xf numFmtId="0" fontId="18" fillId="0" borderId="0" xfId="0" applyFont="1"/>
    <xf numFmtId="0" fontId="32" fillId="0" borderId="5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5" fillId="0" borderId="0" xfId="0" applyFont="1"/>
    <xf numFmtId="0" fontId="5" fillId="5" borderId="2" xfId="0" applyFont="1" applyFill="1" applyBorder="1"/>
    <xf numFmtId="0" fontId="5" fillId="0" borderId="16" xfId="0" applyFont="1" applyBorder="1"/>
    <xf numFmtId="0" fontId="0" fillId="0" borderId="16" xfId="0" applyBorder="1"/>
    <xf numFmtId="0" fontId="0" fillId="10" borderId="17" xfId="0" applyFill="1" applyBorder="1"/>
    <xf numFmtId="0" fontId="0" fillId="10" borderId="4" xfId="0" applyFill="1" applyBorder="1"/>
    <xf numFmtId="0" fontId="17" fillId="0" borderId="0" xfId="0" applyFont="1" applyAlignment="1">
      <alignment horizontal="left"/>
    </xf>
    <xf numFmtId="22" fontId="7" fillId="0" borderId="5" xfId="0" applyNumberFormat="1" applyFont="1" applyBorder="1" applyAlignment="1">
      <alignment horizontal="left"/>
    </xf>
    <xf numFmtId="0" fontId="5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2" xfId="0" applyFont="1" applyBorder="1" applyAlignment="1">
      <alignment horizontal="right"/>
    </xf>
    <xf numFmtId="0" fontId="35" fillId="0" borderId="0" xfId="0" applyFont="1"/>
    <xf numFmtId="0" fontId="33" fillId="0" borderId="12" xfId="0" applyFont="1" applyBorder="1" applyAlignment="1">
      <alignment horizontal="center"/>
    </xf>
    <xf numFmtId="0" fontId="33" fillId="0" borderId="12" xfId="0" applyFont="1" applyBorder="1"/>
    <xf numFmtId="0" fontId="0" fillId="0" borderId="12" xfId="0" applyBorder="1"/>
    <xf numFmtId="0" fontId="33" fillId="0" borderId="13" xfId="0" applyFont="1" applyBorder="1" applyAlignment="1">
      <alignment horizontal="center"/>
    </xf>
    <xf numFmtId="0" fontId="33" fillId="0" borderId="13" xfId="0" applyFont="1" applyBorder="1"/>
    <xf numFmtId="0" fontId="0" fillId="0" borderId="13" xfId="0" applyBorder="1"/>
    <xf numFmtId="0" fontId="34" fillId="0" borderId="18" xfId="6" applyFont="1" applyBorder="1" applyAlignment="1">
      <alignment horizontal="center"/>
    </xf>
    <xf numFmtId="0" fontId="34" fillId="0" borderId="18" xfId="6" applyFont="1" applyBorder="1"/>
    <xf numFmtId="0" fontId="11" fillId="0" borderId="0" xfId="0" applyFont="1"/>
    <xf numFmtId="0" fontId="33" fillId="0" borderId="12" xfId="0" applyFont="1" applyBorder="1" applyAlignment="1">
      <alignment horizontal="left" indent="1"/>
    </xf>
    <xf numFmtId="0" fontId="33" fillId="0" borderId="13" xfId="0" applyFont="1" applyBorder="1" applyAlignment="1">
      <alignment horizontal="left" indent="1"/>
    </xf>
    <xf numFmtId="0" fontId="37" fillId="0" borderId="5" xfId="0" applyFont="1" applyBorder="1" applyAlignment="1">
      <alignment horizontal="left"/>
    </xf>
    <xf numFmtId="0" fontId="3" fillId="0" borderId="19" xfId="0" applyFont="1" applyBorder="1"/>
    <xf numFmtId="0" fontId="3" fillId="0" borderId="21" xfId="0" applyFont="1" applyBorder="1"/>
    <xf numFmtId="0" fontId="39" fillId="0" borderId="20" xfId="6" applyFont="1" applyBorder="1"/>
    <xf numFmtId="0" fontId="39" fillId="0" borderId="20" xfId="6" applyFont="1" applyBorder="1" applyAlignment="1">
      <alignment horizontal="center"/>
    </xf>
    <xf numFmtId="0" fontId="3" fillId="0" borderId="23" xfId="0" applyFont="1" applyBorder="1"/>
    <xf numFmtId="0" fontId="5" fillId="0" borderId="22" xfId="0" applyFont="1" applyBorder="1" applyAlignment="1">
      <alignment horizontal="center"/>
    </xf>
    <xf numFmtId="0" fontId="40" fillId="0" borderId="0" xfId="0" applyFont="1"/>
    <xf numFmtId="0" fontId="3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37" fillId="0" borderId="0" xfId="0" applyFont="1" applyAlignment="1">
      <alignment vertical="top"/>
    </xf>
    <xf numFmtId="0" fontId="38" fillId="0" borderId="0" xfId="0" applyFont="1" applyAlignment="1">
      <alignment vertical="top"/>
    </xf>
    <xf numFmtId="0" fontId="32" fillId="0" borderId="0" xfId="0" applyFont="1" applyAlignment="1">
      <alignment vertical="top" wrapText="1"/>
    </xf>
    <xf numFmtId="0" fontId="32" fillId="0" borderId="0" xfId="0" applyFont="1" applyAlignment="1">
      <alignment vertical="top"/>
    </xf>
    <xf numFmtId="0" fontId="36" fillId="0" borderId="0" xfId="0" applyFont="1" applyAlignment="1">
      <alignment vertical="top"/>
    </xf>
    <xf numFmtId="0" fontId="20" fillId="0" borderId="10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30" fillId="0" borderId="1" xfId="1" applyFont="1" applyAlignment="1">
      <alignment horizontal="left" vertical="top"/>
    </xf>
    <xf numFmtId="0" fontId="30" fillId="0" borderId="1" xfId="1" applyFont="1" applyAlignment="1">
      <alignment vertical="top"/>
    </xf>
    <xf numFmtId="0" fontId="3" fillId="0" borderId="23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9" fillId="0" borderId="20" xfId="6" applyFont="1" applyBorder="1" applyAlignment="1">
      <alignment vertical="center"/>
    </xf>
    <xf numFmtId="0" fontId="39" fillId="0" borderId="20" xfId="6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/>
    <xf numFmtId="0" fontId="4" fillId="0" borderId="23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40" fillId="0" borderId="0" xfId="0" applyFont="1" applyAlignment="1">
      <alignment vertical="center"/>
    </xf>
    <xf numFmtId="0" fontId="17" fillId="0" borderId="26" xfId="0" applyFont="1" applyBorder="1" applyAlignment="1">
      <alignment horizontal="left"/>
    </xf>
    <xf numFmtId="0" fontId="5" fillId="0" borderId="27" xfId="0" applyFont="1" applyBorder="1" applyAlignment="1">
      <alignment horizontal="center"/>
    </xf>
    <xf numFmtId="0" fontId="7" fillId="0" borderId="25" xfId="0" applyFont="1" applyBorder="1"/>
    <xf numFmtId="0" fontId="7" fillId="0" borderId="28" xfId="0" applyFont="1" applyBorder="1"/>
    <xf numFmtId="9" fontId="7" fillId="0" borderId="5" xfId="0" applyNumberFormat="1" applyFont="1" applyBorder="1" applyAlignment="1">
      <alignment horizontal="left"/>
    </xf>
    <xf numFmtId="0" fontId="7" fillId="0" borderId="29" xfId="0" applyFont="1" applyBorder="1"/>
    <xf numFmtId="0" fontId="29" fillId="0" borderId="0" xfId="5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14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14" xfId="0" applyFont="1" applyBorder="1" applyAlignment="1">
      <alignment horizontal="left"/>
    </xf>
    <xf numFmtId="0" fontId="41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 indent="8"/>
    </xf>
    <xf numFmtId="0" fontId="40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left" vertical="top" wrapText="1"/>
    </xf>
    <xf numFmtId="0" fontId="3" fillId="0" borderId="5" xfId="0" applyFont="1" applyBorder="1" applyAlignment="1">
      <alignment vertical="top" wrapText="1"/>
    </xf>
    <xf numFmtId="0" fontId="27" fillId="8" borderId="0" xfId="0" applyFont="1" applyFill="1" applyAlignment="1">
      <alignment horizontal="center"/>
    </xf>
    <xf numFmtId="0" fontId="27" fillId="2" borderId="0" xfId="0" applyFont="1" applyFill="1" applyAlignment="1">
      <alignment horizontal="center"/>
    </xf>
  </cellXfs>
  <cellStyles count="7">
    <cellStyle name="Heading 1" xfId="2" builtinId="16"/>
    <cellStyle name="Heading 2" xfId="1" builtinId="17"/>
    <cellStyle name="Hyperlink" xfId="3" builtinId="8"/>
    <cellStyle name="Normal" xfId="0" builtinId="0"/>
    <cellStyle name="Percent" xfId="4" builtinId="5"/>
    <cellStyle name="Title" xfId="5" builtinId="15"/>
    <cellStyle name="Total" xfId="6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904873</xdr:colOff>
      <xdr:row>1</xdr:row>
      <xdr:rowOff>76198</xdr:rowOff>
    </xdr:from>
    <xdr:to>
      <xdr:col>3</xdr:col>
      <xdr:colOff>1610473</xdr:colOff>
      <xdr:row>1</xdr:row>
      <xdr:rowOff>508198</xdr:rowOff>
    </xdr:to>
    <xdr:sp macro="[0]!Chon_Folder_Luu_PDF" textlink="">
      <xdr:nvSpPr>
        <xdr:cNvPr id="2" name="Rectangle 1">
          <a:extLst>
            <a:ext uri="{FF2B5EF4-FFF2-40B4-BE49-F238E27FC236}">
              <a16:creationId xmlns:a16="http://schemas.microsoft.com/office/drawing/2014/main" id="{979CDF89-2D25-4BC6-BFCF-B61BD8BB2827}"/>
            </a:ext>
          </a:extLst>
        </xdr:cNvPr>
        <xdr:cNvSpPr>
          <a:spLocks/>
        </xdr:cNvSpPr>
      </xdr:nvSpPr>
      <xdr:spPr>
        <a:xfrm>
          <a:off x="1419223" y="457198"/>
          <a:ext cx="1620000" cy="4320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Chọn Folder l</a:t>
          </a:r>
          <a:r>
            <a:rPr lang="vi-VN" sz="1600"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3</xdr:col>
      <xdr:colOff>2114548</xdr:colOff>
      <xdr:row>1</xdr:row>
      <xdr:rowOff>76198</xdr:rowOff>
    </xdr:from>
    <xdr:to>
      <xdr:col>3</xdr:col>
      <xdr:colOff>3505200</xdr:colOff>
      <xdr:row>1</xdr:row>
      <xdr:rowOff>508198</xdr:rowOff>
    </xdr:to>
    <xdr:sp macro="[0]!TongHop_ChamDiem_Optimized" textlink="">
      <xdr:nvSpPr>
        <xdr:cNvPr id="4" name="Rectangle 3">
          <a:extLst>
            <a:ext uri="{FF2B5EF4-FFF2-40B4-BE49-F238E27FC236}">
              <a16:creationId xmlns:a16="http://schemas.microsoft.com/office/drawing/2014/main" id="{05D07348-F336-3546-35EE-E50795751B6C}"/>
            </a:ext>
          </a:extLst>
        </xdr:cNvPr>
        <xdr:cNvSpPr>
          <a:spLocks/>
        </xdr:cNvSpPr>
      </xdr:nvSpPr>
      <xdr:spPr>
        <a:xfrm>
          <a:off x="3543298" y="457198"/>
          <a:ext cx="1390652" cy="432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66675</xdr:rowOff>
    </xdr:from>
    <xdr:to>
      <xdr:col>1</xdr:col>
      <xdr:colOff>395331</xdr:colOff>
      <xdr:row>1</xdr:row>
      <xdr:rowOff>225675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576D99-CDAC-4C48-A4C2-1D747C67A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66675"/>
          <a:ext cx="785855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0</xdr:rowOff>
    </xdr:from>
    <xdr:to>
      <xdr:col>1</xdr:col>
      <xdr:colOff>217544</xdr:colOff>
      <xdr:row>1</xdr:row>
      <xdr:rowOff>19200</xdr:rowOff>
    </xdr:to>
    <xdr:pic>
      <xdr:nvPicPr>
        <xdr:cNvPr id="2" name="Graphic 1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E8ED0B-7F47-48C0-AE31-CDF6C609B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0" y="0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1</xdr:row>
      <xdr:rowOff>19050</xdr:rowOff>
    </xdr:from>
    <xdr:to>
      <xdr:col>16</xdr:col>
      <xdr:colOff>11793</xdr:colOff>
      <xdr:row>1</xdr:row>
      <xdr:rowOff>235050</xdr:rowOff>
    </xdr:to>
    <xdr:sp macro="[0]!Cau01_ChamDiem" textlink="">
      <xdr:nvSpPr>
        <xdr:cNvPr id="24" name="Rectangle 23">
          <a:extLst>
            <a:ext uri="{FF2B5EF4-FFF2-40B4-BE49-F238E27FC236}">
              <a16:creationId xmlns:a16="http://schemas.microsoft.com/office/drawing/2014/main" id="{9B4067CC-0289-40C3-BFCF-BBEEB4BCF802}"/>
            </a:ext>
          </a:extLst>
        </xdr:cNvPr>
        <xdr:cNvSpPr>
          <a:spLocks/>
        </xdr:cNvSpPr>
      </xdr:nvSpPr>
      <xdr:spPr>
        <a:xfrm>
          <a:off x="11649075" y="32385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2</xdr:row>
      <xdr:rowOff>19050</xdr:rowOff>
    </xdr:from>
    <xdr:to>
      <xdr:col>16</xdr:col>
      <xdr:colOff>11793</xdr:colOff>
      <xdr:row>3</xdr:row>
      <xdr:rowOff>6450</xdr:rowOff>
    </xdr:to>
    <xdr:sp macro="[0]!Cau02_ChamDiem" textlink="">
      <xdr:nvSpPr>
        <xdr:cNvPr id="25" name="Rectangle 24">
          <a:extLst>
            <a:ext uri="{FF2B5EF4-FFF2-40B4-BE49-F238E27FC236}">
              <a16:creationId xmlns:a16="http://schemas.microsoft.com/office/drawing/2014/main" id="{31F61AD5-068B-4820-98C1-A4D7EE2F6D8E}"/>
            </a:ext>
          </a:extLst>
        </xdr:cNvPr>
        <xdr:cNvSpPr>
          <a:spLocks/>
        </xdr:cNvSpPr>
      </xdr:nvSpPr>
      <xdr:spPr>
        <a:xfrm>
          <a:off x="11649075" y="57150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3</xdr:row>
      <xdr:rowOff>19050</xdr:rowOff>
    </xdr:from>
    <xdr:to>
      <xdr:col>16</xdr:col>
      <xdr:colOff>11793</xdr:colOff>
      <xdr:row>3</xdr:row>
      <xdr:rowOff>235050</xdr:rowOff>
    </xdr:to>
    <xdr:sp macro="[0]!Cau03_ChamDiem" textlink="">
      <xdr:nvSpPr>
        <xdr:cNvPr id="26" name="Rectangle 25">
          <a:extLst>
            <a:ext uri="{FF2B5EF4-FFF2-40B4-BE49-F238E27FC236}">
              <a16:creationId xmlns:a16="http://schemas.microsoft.com/office/drawing/2014/main" id="{7D2AE329-DE34-4693-B4AE-509DE4BF861F}"/>
            </a:ext>
          </a:extLst>
        </xdr:cNvPr>
        <xdr:cNvSpPr>
          <a:spLocks/>
        </xdr:cNvSpPr>
      </xdr:nvSpPr>
      <xdr:spPr>
        <a:xfrm>
          <a:off x="11649075" y="8001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4</xdr:row>
      <xdr:rowOff>19050</xdr:rowOff>
    </xdr:from>
    <xdr:to>
      <xdr:col>16</xdr:col>
      <xdr:colOff>11793</xdr:colOff>
      <xdr:row>4</xdr:row>
      <xdr:rowOff>235050</xdr:rowOff>
    </xdr:to>
    <xdr:sp macro="[0]!Cau04_ChamDiem" textlink="">
      <xdr:nvSpPr>
        <xdr:cNvPr id="27" name="Rectangle 26">
          <a:extLst>
            <a:ext uri="{FF2B5EF4-FFF2-40B4-BE49-F238E27FC236}">
              <a16:creationId xmlns:a16="http://schemas.microsoft.com/office/drawing/2014/main" id="{CD13BDE3-E89F-49F7-B5F8-28198D6A327A}"/>
            </a:ext>
          </a:extLst>
        </xdr:cNvPr>
        <xdr:cNvSpPr>
          <a:spLocks/>
        </xdr:cNvSpPr>
      </xdr:nvSpPr>
      <xdr:spPr>
        <a:xfrm>
          <a:off x="11649075" y="10477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5</xdr:row>
      <xdr:rowOff>19050</xdr:rowOff>
    </xdr:from>
    <xdr:to>
      <xdr:col>16</xdr:col>
      <xdr:colOff>11793</xdr:colOff>
      <xdr:row>5</xdr:row>
      <xdr:rowOff>235050</xdr:rowOff>
    </xdr:to>
    <xdr:sp macro="[0]!Cau05_ChamDiem" textlink="">
      <xdr:nvSpPr>
        <xdr:cNvPr id="28" name="Rectangle 27">
          <a:extLst>
            <a:ext uri="{FF2B5EF4-FFF2-40B4-BE49-F238E27FC236}">
              <a16:creationId xmlns:a16="http://schemas.microsoft.com/office/drawing/2014/main" id="{A3B772A5-00C4-475B-9960-531C1892EBFE}"/>
            </a:ext>
          </a:extLst>
        </xdr:cNvPr>
        <xdr:cNvSpPr>
          <a:spLocks/>
        </xdr:cNvSpPr>
      </xdr:nvSpPr>
      <xdr:spPr>
        <a:xfrm>
          <a:off x="11649075" y="12954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6</xdr:row>
      <xdr:rowOff>19050</xdr:rowOff>
    </xdr:from>
    <xdr:to>
      <xdr:col>16</xdr:col>
      <xdr:colOff>11793</xdr:colOff>
      <xdr:row>6</xdr:row>
      <xdr:rowOff>235050</xdr:rowOff>
    </xdr:to>
    <xdr:sp macro="[0]!Cau06_ChamDiem" textlink="">
      <xdr:nvSpPr>
        <xdr:cNvPr id="29" name="Rectangle 28">
          <a:extLst>
            <a:ext uri="{FF2B5EF4-FFF2-40B4-BE49-F238E27FC236}">
              <a16:creationId xmlns:a16="http://schemas.microsoft.com/office/drawing/2014/main" id="{433014D4-6D64-43C3-A5F4-D537F15060C1}"/>
            </a:ext>
          </a:extLst>
        </xdr:cNvPr>
        <xdr:cNvSpPr>
          <a:spLocks/>
        </xdr:cNvSpPr>
      </xdr:nvSpPr>
      <xdr:spPr>
        <a:xfrm>
          <a:off x="11649075" y="15430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7</xdr:row>
      <xdr:rowOff>19050</xdr:rowOff>
    </xdr:from>
    <xdr:to>
      <xdr:col>16</xdr:col>
      <xdr:colOff>11793</xdr:colOff>
      <xdr:row>7</xdr:row>
      <xdr:rowOff>235050</xdr:rowOff>
    </xdr:to>
    <xdr:sp macro="[0]!Cau07_ChamDiem" textlink="">
      <xdr:nvSpPr>
        <xdr:cNvPr id="30" name="Rectangle 29">
          <a:extLst>
            <a:ext uri="{FF2B5EF4-FFF2-40B4-BE49-F238E27FC236}">
              <a16:creationId xmlns:a16="http://schemas.microsoft.com/office/drawing/2014/main" id="{C48D7883-BCA4-49A5-960F-94771D7D04D1}"/>
            </a:ext>
          </a:extLst>
        </xdr:cNvPr>
        <xdr:cNvSpPr>
          <a:spLocks/>
        </xdr:cNvSpPr>
      </xdr:nvSpPr>
      <xdr:spPr>
        <a:xfrm>
          <a:off x="11649075" y="17907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8</xdr:row>
      <xdr:rowOff>19050</xdr:rowOff>
    </xdr:from>
    <xdr:to>
      <xdr:col>16</xdr:col>
      <xdr:colOff>11793</xdr:colOff>
      <xdr:row>8</xdr:row>
      <xdr:rowOff>235050</xdr:rowOff>
    </xdr:to>
    <xdr:sp macro="[0]!Cau08_ChamDiem" textlink="">
      <xdr:nvSpPr>
        <xdr:cNvPr id="31" name="Rectangle 30">
          <a:extLst>
            <a:ext uri="{FF2B5EF4-FFF2-40B4-BE49-F238E27FC236}">
              <a16:creationId xmlns:a16="http://schemas.microsoft.com/office/drawing/2014/main" id="{F8435251-C510-4877-99AA-E9FAB1AE2425}"/>
            </a:ext>
          </a:extLst>
        </xdr:cNvPr>
        <xdr:cNvSpPr>
          <a:spLocks/>
        </xdr:cNvSpPr>
      </xdr:nvSpPr>
      <xdr:spPr>
        <a:xfrm>
          <a:off x="11649075" y="20383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9</xdr:row>
      <xdr:rowOff>19050</xdr:rowOff>
    </xdr:from>
    <xdr:to>
      <xdr:col>16</xdr:col>
      <xdr:colOff>11793</xdr:colOff>
      <xdr:row>9</xdr:row>
      <xdr:rowOff>235050</xdr:rowOff>
    </xdr:to>
    <xdr:sp macro="[0]!Cau09_ChamDiem" textlink="">
      <xdr:nvSpPr>
        <xdr:cNvPr id="32" name="Rectangle 31">
          <a:extLst>
            <a:ext uri="{FF2B5EF4-FFF2-40B4-BE49-F238E27FC236}">
              <a16:creationId xmlns:a16="http://schemas.microsoft.com/office/drawing/2014/main" id="{76E04385-254B-4D40-AC66-896570ADA0A2}"/>
            </a:ext>
          </a:extLst>
        </xdr:cNvPr>
        <xdr:cNvSpPr>
          <a:spLocks/>
        </xdr:cNvSpPr>
      </xdr:nvSpPr>
      <xdr:spPr>
        <a:xfrm>
          <a:off x="11649075" y="22860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10</xdr:row>
      <xdr:rowOff>19050</xdr:rowOff>
    </xdr:from>
    <xdr:to>
      <xdr:col>16</xdr:col>
      <xdr:colOff>11793</xdr:colOff>
      <xdr:row>10</xdr:row>
      <xdr:rowOff>235050</xdr:rowOff>
    </xdr:to>
    <xdr:sp macro="[0]!Cau10_ChamDiem" textlink="">
      <xdr:nvSpPr>
        <xdr:cNvPr id="33" name="Rectangle 32">
          <a:extLst>
            <a:ext uri="{FF2B5EF4-FFF2-40B4-BE49-F238E27FC236}">
              <a16:creationId xmlns:a16="http://schemas.microsoft.com/office/drawing/2014/main" id="{3A62FB8D-44F0-47B1-B40F-3A67EDEB0E87}"/>
            </a:ext>
          </a:extLst>
        </xdr:cNvPr>
        <xdr:cNvSpPr>
          <a:spLocks/>
        </xdr:cNvSpPr>
      </xdr:nvSpPr>
      <xdr:spPr>
        <a:xfrm>
          <a:off x="11649075" y="25336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11</xdr:row>
      <xdr:rowOff>19050</xdr:rowOff>
    </xdr:from>
    <xdr:to>
      <xdr:col>16</xdr:col>
      <xdr:colOff>11793</xdr:colOff>
      <xdr:row>11</xdr:row>
      <xdr:rowOff>235050</xdr:rowOff>
    </xdr:to>
    <xdr:sp macro="[0]!Cau11_ChamDiem" textlink="">
      <xdr:nvSpPr>
        <xdr:cNvPr id="34" name="Rectangle 33">
          <a:extLst>
            <a:ext uri="{FF2B5EF4-FFF2-40B4-BE49-F238E27FC236}">
              <a16:creationId xmlns:a16="http://schemas.microsoft.com/office/drawing/2014/main" id="{874C936C-CDDB-4AD6-A9F2-D674B8715249}"/>
            </a:ext>
          </a:extLst>
        </xdr:cNvPr>
        <xdr:cNvSpPr>
          <a:spLocks/>
        </xdr:cNvSpPr>
      </xdr:nvSpPr>
      <xdr:spPr>
        <a:xfrm>
          <a:off x="11649075" y="27813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12</xdr:row>
      <xdr:rowOff>19050</xdr:rowOff>
    </xdr:from>
    <xdr:to>
      <xdr:col>16</xdr:col>
      <xdr:colOff>11793</xdr:colOff>
      <xdr:row>12</xdr:row>
      <xdr:rowOff>235050</xdr:rowOff>
    </xdr:to>
    <xdr:sp macro="[0]!Cau12_ChamDiem" textlink="">
      <xdr:nvSpPr>
        <xdr:cNvPr id="35" name="Rectangle 34">
          <a:extLst>
            <a:ext uri="{FF2B5EF4-FFF2-40B4-BE49-F238E27FC236}">
              <a16:creationId xmlns:a16="http://schemas.microsoft.com/office/drawing/2014/main" id="{2B8621BA-4CE9-4637-AC25-D5EEF33E5A43}"/>
            </a:ext>
          </a:extLst>
        </xdr:cNvPr>
        <xdr:cNvSpPr>
          <a:spLocks/>
        </xdr:cNvSpPr>
      </xdr:nvSpPr>
      <xdr:spPr>
        <a:xfrm>
          <a:off x="11649075" y="30289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13</xdr:row>
      <xdr:rowOff>19050</xdr:rowOff>
    </xdr:from>
    <xdr:to>
      <xdr:col>16</xdr:col>
      <xdr:colOff>11793</xdr:colOff>
      <xdr:row>13</xdr:row>
      <xdr:rowOff>235050</xdr:rowOff>
    </xdr:to>
    <xdr:sp macro="[0]!Cau13_ChamDiem" textlink="">
      <xdr:nvSpPr>
        <xdr:cNvPr id="36" name="Rectangle 35">
          <a:extLst>
            <a:ext uri="{FF2B5EF4-FFF2-40B4-BE49-F238E27FC236}">
              <a16:creationId xmlns:a16="http://schemas.microsoft.com/office/drawing/2014/main" id="{AFBF0FF9-FA2C-4050-843B-621C524CA721}"/>
            </a:ext>
          </a:extLst>
        </xdr:cNvPr>
        <xdr:cNvSpPr>
          <a:spLocks/>
        </xdr:cNvSpPr>
      </xdr:nvSpPr>
      <xdr:spPr>
        <a:xfrm>
          <a:off x="11649075" y="32766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14</xdr:row>
      <xdr:rowOff>19050</xdr:rowOff>
    </xdr:from>
    <xdr:to>
      <xdr:col>16</xdr:col>
      <xdr:colOff>11793</xdr:colOff>
      <xdr:row>14</xdr:row>
      <xdr:rowOff>235050</xdr:rowOff>
    </xdr:to>
    <xdr:sp macro="[0]!Cau14_ChamDiem" textlink="">
      <xdr:nvSpPr>
        <xdr:cNvPr id="37" name="Rectangle 36">
          <a:extLst>
            <a:ext uri="{FF2B5EF4-FFF2-40B4-BE49-F238E27FC236}">
              <a16:creationId xmlns:a16="http://schemas.microsoft.com/office/drawing/2014/main" id="{7B2D915D-3E26-4BAC-896B-42A9A80E5DCE}"/>
            </a:ext>
          </a:extLst>
        </xdr:cNvPr>
        <xdr:cNvSpPr>
          <a:spLocks/>
        </xdr:cNvSpPr>
      </xdr:nvSpPr>
      <xdr:spPr>
        <a:xfrm>
          <a:off x="11649075" y="35242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15</xdr:row>
      <xdr:rowOff>19050</xdr:rowOff>
    </xdr:from>
    <xdr:to>
      <xdr:col>16</xdr:col>
      <xdr:colOff>11793</xdr:colOff>
      <xdr:row>15</xdr:row>
      <xdr:rowOff>235050</xdr:rowOff>
    </xdr:to>
    <xdr:sp macro="[0]!Cau15_ChamDiem" textlink="">
      <xdr:nvSpPr>
        <xdr:cNvPr id="38" name="Rectangle 37">
          <a:extLst>
            <a:ext uri="{FF2B5EF4-FFF2-40B4-BE49-F238E27FC236}">
              <a16:creationId xmlns:a16="http://schemas.microsoft.com/office/drawing/2014/main" id="{F6226645-A401-4179-A446-530DEDD94CF2}"/>
            </a:ext>
          </a:extLst>
        </xdr:cNvPr>
        <xdr:cNvSpPr>
          <a:spLocks/>
        </xdr:cNvSpPr>
      </xdr:nvSpPr>
      <xdr:spPr>
        <a:xfrm>
          <a:off x="11649075" y="37719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16</xdr:row>
      <xdr:rowOff>19050</xdr:rowOff>
    </xdr:from>
    <xdr:to>
      <xdr:col>16</xdr:col>
      <xdr:colOff>11793</xdr:colOff>
      <xdr:row>16</xdr:row>
      <xdr:rowOff>235050</xdr:rowOff>
    </xdr:to>
    <xdr:sp macro="[0]!Cau16_ChamDiem" textlink="">
      <xdr:nvSpPr>
        <xdr:cNvPr id="39" name="Rectangle 38">
          <a:extLst>
            <a:ext uri="{FF2B5EF4-FFF2-40B4-BE49-F238E27FC236}">
              <a16:creationId xmlns:a16="http://schemas.microsoft.com/office/drawing/2014/main" id="{BE2877F3-C60E-4BF6-BE2A-620684F84D7D}"/>
            </a:ext>
          </a:extLst>
        </xdr:cNvPr>
        <xdr:cNvSpPr>
          <a:spLocks/>
        </xdr:cNvSpPr>
      </xdr:nvSpPr>
      <xdr:spPr>
        <a:xfrm>
          <a:off x="11649075" y="40195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17</xdr:row>
      <xdr:rowOff>19050</xdr:rowOff>
    </xdr:from>
    <xdr:to>
      <xdr:col>16</xdr:col>
      <xdr:colOff>11793</xdr:colOff>
      <xdr:row>17</xdr:row>
      <xdr:rowOff>235050</xdr:rowOff>
    </xdr:to>
    <xdr:sp macro="[0]!Cau17_ChamDiem" textlink="">
      <xdr:nvSpPr>
        <xdr:cNvPr id="40" name="Rectangle 39">
          <a:extLst>
            <a:ext uri="{FF2B5EF4-FFF2-40B4-BE49-F238E27FC236}">
              <a16:creationId xmlns:a16="http://schemas.microsoft.com/office/drawing/2014/main" id="{03EFEEB0-1B68-42B8-954B-15A473B04F83}"/>
            </a:ext>
          </a:extLst>
        </xdr:cNvPr>
        <xdr:cNvSpPr>
          <a:spLocks/>
        </xdr:cNvSpPr>
      </xdr:nvSpPr>
      <xdr:spPr>
        <a:xfrm>
          <a:off x="11649075" y="42672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18</xdr:row>
      <xdr:rowOff>19050</xdr:rowOff>
    </xdr:from>
    <xdr:to>
      <xdr:col>16</xdr:col>
      <xdr:colOff>11793</xdr:colOff>
      <xdr:row>18</xdr:row>
      <xdr:rowOff>235050</xdr:rowOff>
    </xdr:to>
    <xdr:sp macro="[0]!Cau18_ChamDiem" textlink="">
      <xdr:nvSpPr>
        <xdr:cNvPr id="41" name="Rectangle 40">
          <a:extLst>
            <a:ext uri="{FF2B5EF4-FFF2-40B4-BE49-F238E27FC236}">
              <a16:creationId xmlns:a16="http://schemas.microsoft.com/office/drawing/2014/main" id="{FA8B1864-67C8-43D4-ABC6-DE4FD6068E20}"/>
            </a:ext>
          </a:extLst>
        </xdr:cNvPr>
        <xdr:cNvSpPr>
          <a:spLocks/>
        </xdr:cNvSpPr>
      </xdr:nvSpPr>
      <xdr:spPr>
        <a:xfrm>
          <a:off x="11649075" y="45148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19</xdr:row>
      <xdr:rowOff>19050</xdr:rowOff>
    </xdr:from>
    <xdr:to>
      <xdr:col>16</xdr:col>
      <xdr:colOff>11793</xdr:colOff>
      <xdr:row>19</xdr:row>
      <xdr:rowOff>235050</xdr:rowOff>
    </xdr:to>
    <xdr:sp macro="[0]!Cau19_ChamDiem" textlink="">
      <xdr:nvSpPr>
        <xdr:cNvPr id="42" name="Rectangle 41">
          <a:extLst>
            <a:ext uri="{FF2B5EF4-FFF2-40B4-BE49-F238E27FC236}">
              <a16:creationId xmlns:a16="http://schemas.microsoft.com/office/drawing/2014/main" id="{4D133C6B-FB99-412D-BF79-9650CA552668}"/>
            </a:ext>
          </a:extLst>
        </xdr:cNvPr>
        <xdr:cNvSpPr>
          <a:spLocks/>
        </xdr:cNvSpPr>
      </xdr:nvSpPr>
      <xdr:spPr>
        <a:xfrm>
          <a:off x="11649075" y="4762500"/>
          <a:ext cx="864000" cy="216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  <xdr:twoCellAnchor editAs="oneCell">
    <xdr:from>
      <xdr:col>15</xdr:col>
      <xdr:colOff>66675</xdr:colOff>
      <xdr:row>20</xdr:row>
      <xdr:rowOff>19050</xdr:rowOff>
    </xdr:from>
    <xdr:to>
      <xdr:col>16</xdr:col>
      <xdr:colOff>11793</xdr:colOff>
      <xdr:row>20</xdr:row>
      <xdr:rowOff>235050</xdr:rowOff>
    </xdr:to>
    <xdr:sp macro="[0]!Cau20_ChamDiem" textlink="">
      <xdr:nvSpPr>
        <xdr:cNvPr id="43" name="Rectangle 42">
          <a:extLst>
            <a:ext uri="{FF2B5EF4-FFF2-40B4-BE49-F238E27FC236}">
              <a16:creationId xmlns:a16="http://schemas.microsoft.com/office/drawing/2014/main" id="{B72C43A8-34AC-4BE0-9230-F9BCC652BA87}"/>
            </a:ext>
          </a:extLst>
        </xdr:cNvPr>
        <xdr:cNvSpPr>
          <a:spLocks/>
        </xdr:cNvSpPr>
      </xdr:nvSpPr>
      <xdr:spPr>
        <a:xfrm>
          <a:off x="11649075" y="5010150"/>
          <a:ext cx="864000" cy="216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0</xdr:rowOff>
    </xdr:from>
    <xdr:to>
      <xdr:col>1</xdr:col>
      <xdr:colOff>162075</xdr:colOff>
      <xdr:row>1</xdr:row>
      <xdr:rowOff>38250</xdr:rowOff>
    </xdr:to>
    <xdr:pic>
      <xdr:nvPicPr>
        <xdr:cNvPr id="2" name="Graphic 1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B9DCA0-4D47-4B76-B324-C54A6DD9C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25" y="0"/>
          <a:ext cx="324000" cy="32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295275</xdr:colOff>
      <xdr:row>4</xdr:row>
      <xdr:rowOff>19049</xdr:rowOff>
    </xdr:from>
    <xdr:to>
      <xdr:col>1</xdr:col>
      <xdr:colOff>523875</xdr:colOff>
      <xdr:row>6</xdr:row>
      <xdr:rowOff>180975</xdr:rowOff>
    </xdr:to>
    <xdr:sp macro="[0]!Ktra_PrintSettings" textlink="">
      <xdr:nvSpPr>
        <xdr:cNvPr id="2" name="Rectangle 1">
          <a:extLst>
            <a:ext uri="{FF2B5EF4-FFF2-40B4-BE49-F238E27FC236}">
              <a16:creationId xmlns:a16="http://schemas.microsoft.com/office/drawing/2014/main" id="{7604501E-B2EF-4573-946A-0C4ADAECB05F}"/>
            </a:ext>
          </a:extLst>
        </xdr:cNvPr>
        <xdr:cNvSpPr>
          <a:spLocks/>
        </xdr:cNvSpPr>
      </xdr:nvSpPr>
      <xdr:spPr>
        <a:xfrm>
          <a:off x="295275" y="1085849"/>
          <a:ext cx="1343025" cy="65722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Print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0A9CB9-8421-463B-BAC1-2A02008DD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361950</xdr:colOff>
      <xdr:row>14</xdr:row>
      <xdr:rowOff>209550</xdr:rowOff>
    </xdr:from>
    <xdr:to>
      <xdr:col>1</xdr:col>
      <xdr:colOff>590550</xdr:colOff>
      <xdr:row>17</xdr:row>
      <xdr:rowOff>152401</xdr:rowOff>
    </xdr:to>
    <xdr:sp macro="[0]!Ktra_PageSetup" textlink="">
      <xdr:nvSpPr>
        <xdr:cNvPr id="4" name="Rectangle 3">
          <a:extLst>
            <a:ext uri="{FF2B5EF4-FFF2-40B4-BE49-F238E27FC236}">
              <a16:creationId xmlns:a16="http://schemas.microsoft.com/office/drawing/2014/main" id="{681641F5-5C24-4D69-86F9-403A5ADECB8D}"/>
            </a:ext>
          </a:extLst>
        </xdr:cNvPr>
        <xdr:cNvSpPr>
          <a:spLocks/>
        </xdr:cNvSpPr>
      </xdr:nvSpPr>
      <xdr:spPr>
        <a:xfrm>
          <a:off x="361950" y="3733800"/>
          <a:ext cx="1343025" cy="65722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Page Setup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123825</xdr:rowOff>
    </xdr:from>
    <xdr:to>
      <xdr:col>1</xdr:col>
      <xdr:colOff>621030</xdr:colOff>
      <xdr:row>12</xdr:row>
      <xdr:rowOff>133350</xdr:rowOff>
    </xdr:to>
    <xdr:sp macro="[0]!Ktra_Background" textlink="">
      <xdr:nvSpPr>
        <xdr:cNvPr id="4" name="Rectangle 3">
          <a:extLst>
            <a:ext uri="{FF2B5EF4-FFF2-40B4-BE49-F238E27FC236}">
              <a16:creationId xmlns:a16="http://schemas.microsoft.com/office/drawing/2014/main" id="{C1A2811B-F2C2-4F3C-A12B-61F4E62FD641}"/>
            </a:ext>
          </a:extLst>
        </xdr:cNvPr>
        <xdr:cNvSpPr>
          <a:spLocks/>
        </xdr:cNvSpPr>
      </xdr:nvSpPr>
      <xdr:spPr>
        <a:xfrm>
          <a:off x="180975" y="2181225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Background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1 Slide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0</xdr:rowOff>
    </xdr:from>
    <xdr:to>
      <xdr:col>0</xdr:col>
      <xdr:colOff>409725</xdr:colOff>
      <xdr:row>1</xdr:row>
      <xdr:rowOff>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67C9AF-6FFE-F855-6A26-6B44293A1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25" y="0"/>
          <a:ext cx="324000" cy="32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6</xdr:row>
      <xdr:rowOff>200026</xdr:rowOff>
    </xdr:from>
    <xdr:to>
      <xdr:col>1</xdr:col>
      <xdr:colOff>601980</xdr:colOff>
      <xdr:row>9</xdr:row>
      <xdr:rowOff>114300</xdr:rowOff>
    </xdr:to>
    <xdr:sp macro="[0]!Ktra_SmartArt_Text" textlink="">
      <xdr:nvSpPr>
        <xdr:cNvPr id="2" name="Rectangle 1">
          <a:extLst>
            <a:ext uri="{FF2B5EF4-FFF2-40B4-BE49-F238E27FC236}">
              <a16:creationId xmlns:a16="http://schemas.microsoft.com/office/drawing/2014/main" id="{6D807350-3636-4769-8D6E-59B1FCC4B8D9}"/>
            </a:ext>
          </a:extLst>
        </xdr:cNvPr>
        <xdr:cNvSpPr>
          <a:spLocks/>
        </xdr:cNvSpPr>
      </xdr:nvSpPr>
      <xdr:spPr>
        <a:xfrm>
          <a:off x="161925" y="1762126"/>
          <a:ext cx="1554480" cy="657224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Smart Art Text</a:t>
          </a:r>
        </a:p>
      </xdr:txBody>
    </xdr:sp>
    <xdr:clientData/>
  </xdr:twoCellAnchor>
  <xdr:twoCellAnchor editAs="oneCell">
    <xdr:from>
      <xdr:col>0</xdr:col>
      <xdr:colOff>85725</xdr:colOff>
      <xdr:row>0</xdr:row>
      <xdr:rowOff>0</xdr:rowOff>
    </xdr:from>
    <xdr:to>
      <xdr:col>0</xdr:col>
      <xdr:colOff>409725</xdr:colOff>
      <xdr:row>1</xdr:row>
      <xdr:rowOff>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2713B-EDB2-4C07-8968-D7CD9FEC3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25" y="0"/>
          <a:ext cx="324000" cy="32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476250</xdr:colOff>
      <xdr:row>2</xdr:row>
      <xdr:rowOff>133349</xdr:rowOff>
    </xdr:from>
    <xdr:to>
      <xdr:col>13</xdr:col>
      <xdr:colOff>449580</xdr:colOff>
      <xdr:row>6</xdr:row>
      <xdr:rowOff>57149</xdr:rowOff>
    </xdr:to>
    <xdr:sp macro="[0]!Ktra_Picture" textlink="">
      <xdr:nvSpPr>
        <xdr:cNvPr id="2" name="Rectangle 1">
          <a:extLst>
            <a:ext uri="{FF2B5EF4-FFF2-40B4-BE49-F238E27FC236}">
              <a16:creationId xmlns:a16="http://schemas.microsoft.com/office/drawing/2014/main" id="{CC521562-804F-44F6-AB89-1510C3029B69}"/>
            </a:ext>
          </a:extLst>
        </xdr:cNvPr>
        <xdr:cNvSpPr>
          <a:spLocks/>
        </xdr:cNvSpPr>
      </xdr:nvSpPr>
      <xdr:spPr>
        <a:xfrm>
          <a:off x="10525125" y="704849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Picture name</a:t>
          </a:r>
        </a:p>
      </xdr:txBody>
    </xdr:sp>
    <xdr:clientData/>
  </xdr:twoCellAnchor>
  <xdr:twoCellAnchor editAs="absolute">
    <xdr:from>
      <xdr:col>7</xdr:col>
      <xdr:colOff>695325</xdr:colOff>
      <xdr:row>11</xdr:row>
      <xdr:rowOff>95249</xdr:rowOff>
    </xdr:from>
    <xdr:to>
      <xdr:col>8</xdr:col>
      <xdr:colOff>1325880</xdr:colOff>
      <xdr:row>15</xdr:row>
      <xdr:rowOff>19049</xdr:rowOff>
    </xdr:to>
    <xdr:sp macro="[0]!Ktra_TopAlignment" textlink="">
      <xdr:nvSpPr>
        <xdr:cNvPr id="3" name="Rectangle 2">
          <a:extLst>
            <a:ext uri="{FF2B5EF4-FFF2-40B4-BE49-F238E27FC236}">
              <a16:creationId xmlns:a16="http://schemas.microsoft.com/office/drawing/2014/main" id="{5C3E747A-CAA0-26C1-3898-70C01B58969D}"/>
            </a:ext>
          </a:extLst>
        </xdr:cNvPr>
        <xdr:cNvSpPr>
          <a:spLocks/>
        </xdr:cNvSpPr>
      </xdr:nvSpPr>
      <xdr:spPr>
        <a:xfrm>
          <a:off x="6848475" y="2895599"/>
          <a:ext cx="1554480" cy="91440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Picture Align</a:t>
          </a:r>
        </a:p>
      </xdr:txBody>
    </xdr:sp>
    <xdr:clientData/>
  </xdr:twoCellAnchor>
  <xdr:twoCellAnchor editAs="oneCell">
    <xdr:from>
      <xdr:col>0</xdr:col>
      <xdr:colOff>85725</xdr:colOff>
      <xdr:row>0</xdr:row>
      <xdr:rowOff>0</xdr:rowOff>
    </xdr:from>
    <xdr:to>
      <xdr:col>0</xdr:col>
      <xdr:colOff>409725</xdr:colOff>
      <xdr:row>1</xdr:row>
      <xdr:rowOff>150</xdr:rowOff>
    </xdr:to>
    <xdr:pic>
      <xdr:nvPicPr>
        <xdr:cNvPr id="4" name="Graphic 3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85B418-843D-4C3D-8CE1-9E4A218B6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5725" y="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180975</xdr:colOff>
      <xdr:row>25</xdr:row>
      <xdr:rowOff>228600</xdr:rowOff>
    </xdr:from>
    <xdr:to>
      <xdr:col>8</xdr:col>
      <xdr:colOff>811530</xdr:colOff>
      <xdr:row>29</xdr:row>
      <xdr:rowOff>152400</xdr:rowOff>
    </xdr:to>
    <xdr:sp macro="[0]!Ktra_Shape_Format" textlink="">
      <xdr:nvSpPr>
        <xdr:cNvPr id="5" name="Rectangle 4">
          <a:extLst>
            <a:ext uri="{FF2B5EF4-FFF2-40B4-BE49-F238E27FC236}">
              <a16:creationId xmlns:a16="http://schemas.microsoft.com/office/drawing/2014/main" id="{90DC058B-9E8E-403F-AA12-5D81F0FDFA16}"/>
            </a:ext>
          </a:extLst>
        </xdr:cNvPr>
        <xdr:cNvSpPr>
          <a:spLocks/>
        </xdr:cNvSpPr>
      </xdr:nvSpPr>
      <xdr:spPr>
        <a:xfrm>
          <a:off x="6334125" y="6305550"/>
          <a:ext cx="1554480" cy="91440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Shape Format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7</xdr:row>
      <xdr:rowOff>133350</xdr:rowOff>
    </xdr:from>
    <xdr:to>
      <xdr:col>1</xdr:col>
      <xdr:colOff>640080</xdr:colOff>
      <xdr:row>11</xdr:row>
      <xdr:rowOff>57150</xdr:rowOff>
    </xdr:to>
    <xdr:sp macro="[0]!Ktra_Transitions" textlink="">
      <xdr:nvSpPr>
        <xdr:cNvPr id="2" name="Rectangle 1">
          <a:extLst>
            <a:ext uri="{FF2B5EF4-FFF2-40B4-BE49-F238E27FC236}">
              <a16:creationId xmlns:a16="http://schemas.microsoft.com/office/drawing/2014/main" id="{156292E6-039A-42FB-813B-7D99FFA6F1D7}"/>
            </a:ext>
          </a:extLst>
        </xdr:cNvPr>
        <xdr:cNvSpPr/>
      </xdr:nvSpPr>
      <xdr:spPr>
        <a:xfrm>
          <a:off x="200025" y="1943100"/>
          <a:ext cx="1554480" cy="9144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Transitions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17CD4A-379F-4114-94F1-B580FAE3F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6</xdr:row>
      <xdr:rowOff>47625</xdr:rowOff>
    </xdr:from>
    <xdr:to>
      <xdr:col>1</xdr:col>
      <xdr:colOff>582931</xdr:colOff>
      <xdr:row>9</xdr:row>
      <xdr:rowOff>19050</xdr:rowOff>
    </xdr:to>
    <xdr:sp macro="[0]!Ktra_Animations" textlink="">
      <xdr:nvSpPr>
        <xdr:cNvPr id="2" name="Rectangle 1">
          <a:extLst>
            <a:ext uri="{FF2B5EF4-FFF2-40B4-BE49-F238E27FC236}">
              <a16:creationId xmlns:a16="http://schemas.microsoft.com/office/drawing/2014/main" id="{D392C955-3C90-41F8-BAA1-DC58C66BAFA8}"/>
            </a:ext>
          </a:extLst>
        </xdr:cNvPr>
        <xdr:cNvSpPr/>
      </xdr:nvSpPr>
      <xdr:spPr>
        <a:xfrm>
          <a:off x="142876" y="1609725"/>
          <a:ext cx="1554480" cy="714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Animations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2E3900-9364-461D-B8A2-32EA3E70C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4" name="Graphic 3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79A999-C925-448B-9A26-574869B68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29</xdr:row>
      <xdr:rowOff>0</xdr:rowOff>
    </xdr:from>
    <xdr:to>
      <xdr:col>1</xdr:col>
      <xdr:colOff>592455</xdr:colOff>
      <xdr:row>32</xdr:row>
      <xdr:rowOff>114300</xdr:rowOff>
    </xdr:to>
    <xdr:sp macro="[0]!Ktra_Animations_1Shape" textlink="">
      <xdr:nvSpPr>
        <xdr:cNvPr id="7" name="Rectangle 6">
          <a:extLst>
            <a:ext uri="{FF2B5EF4-FFF2-40B4-BE49-F238E27FC236}">
              <a16:creationId xmlns:a16="http://schemas.microsoft.com/office/drawing/2014/main" id="{4E032D5C-4020-4903-8AD6-047F6839B273}"/>
            </a:ext>
          </a:extLst>
        </xdr:cNvPr>
        <xdr:cNvSpPr/>
      </xdr:nvSpPr>
      <xdr:spPr>
        <a:xfrm>
          <a:off x="152400" y="7258050"/>
          <a:ext cx="1554480" cy="85725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Animations 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1 Shape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142874</xdr:rowOff>
    </xdr:from>
    <xdr:to>
      <xdr:col>1</xdr:col>
      <xdr:colOff>621030</xdr:colOff>
      <xdr:row>12</xdr:row>
      <xdr:rowOff>123824</xdr:rowOff>
    </xdr:to>
    <xdr:sp macro="[0]!Ktra_Section" textlink="">
      <xdr:nvSpPr>
        <xdr:cNvPr id="2" name="Rectangle 1">
          <a:extLst>
            <a:ext uri="{FF2B5EF4-FFF2-40B4-BE49-F238E27FC236}">
              <a16:creationId xmlns:a16="http://schemas.microsoft.com/office/drawing/2014/main" id="{009D7B29-B6D2-4037-AEE3-778CE4952457}"/>
            </a:ext>
          </a:extLst>
        </xdr:cNvPr>
        <xdr:cNvSpPr>
          <a:spLocks/>
        </xdr:cNvSpPr>
      </xdr:nvSpPr>
      <xdr:spPr>
        <a:xfrm>
          <a:off x="180975" y="2200274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Section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6DF460-7CD3-4516-8A39-DB04B8D43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3</xdr:row>
      <xdr:rowOff>219074</xdr:rowOff>
    </xdr:from>
    <xdr:to>
      <xdr:col>1</xdr:col>
      <xdr:colOff>621030</xdr:colOff>
      <xdr:row>7</xdr:row>
      <xdr:rowOff>142874</xdr:rowOff>
    </xdr:to>
    <xdr:sp macro="[0]!Ktra_Properties" textlink="">
      <xdr:nvSpPr>
        <xdr:cNvPr id="2" name="Rectangle 1">
          <a:extLst>
            <a:ext uri="{FF2B5EF4-FFF2-40B4-BE49-F238E27FC236}">
              <a16:creationId xmlns:a16="http://schemas.microsoft.com/office/drawing/2014/main" id="{F8AC0380-CE4D-4EC9-915C-405AB7111C10}"/>
            </a:ext>
          </a:extLst>
        </xdr:cNvPr>
        <xdr:cNvSpPr>
          <a:spLocks/>
        </xdr:cNvSpPr>
      </xdr:nvSpPr>
      <xdr:spPr>
        <a:xfrm>
          <a:off x="180975" y="1038224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Properties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ED77BB-5B3E-489D-88B7-8AFAA7608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142874</xdr:rowOff>
    </xdr:from>
    <xdr:to>
      <xdr:col>1</xdr:col>
      <xdr:colOff>621030</xdr:colOff>
      <xdr:row>12</xdr:row>
      <xdr:rowOff>76199</xdr:rowOff>
    </xdr:to>
    <xdr:sp macro="[0]!Ktra_Text_Format" textlink="">
      <xdr:nvSpPr>
        <xdr:cNvPr id="2" name="Rectangle 1">
          <a:extLst>
            <a:ext uri="{FF2B5EF4-FFF2-40B4-BE49-F238E27FC236}">
              <a16:creationId xmlns:a16="http://schemas.microsoft.com/office/drawing/2014/main" id="{EFD5826E-037A-4052-B514-C64C951E9DA1}"/>
            </a:ext>
          </a:extLst>
        </xdr:cNvPr>
        <xdr:cNvSpPr>
          <a:spLocks/>
        </xdr:cNvSpPr>
      </xdr:nvSpPr>
      <xdr:spPr>
        <a:xfrm>
          <a:off x="180975" y="2200274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Format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9D7340-E0F7-4856-A5CE-C9A4EFB53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2</xdr:row>
      <xdr:rowOff>133349</xdr:rowOff>
    </xdr:from>
    <xdr:to>
      <xdr:col>10</xdr:col>
      <xdr:colOff>363855</xdr:colOff>
      <xdr:row>6</xdr:row>
      <xdr:rowOff>57149</xdr:rowOff>
    </xdr:to>
    <xdr:sp macro="[0]!CheckSlideZoom" textlink="">
      <xdr:nvSpPr>
        <xdr:cNvPr id="2" name="Rectangle 1">
          <a:extLst>
            <a:ext uri="{FF2B5EF4-FFF2-40B4-BE49-F238E27FC236}">
              <a16:creationId xmlns:a16="http://schemas.microsoft.com/office/drawing/2014/main" id="{EDF668A4-B677-4149-B535-90B99DF5D515}"/>
            </a:ext>
          </a:extLst>
        </xdr:cNvPr>
        <xdr:cNvSpPr>
          <a:spLocks/>
        </xdr:cNvSpPr>
      </xdr:nvSpPr>
      <xdr:spPr>
        <a:xfrm>
          <a:off x="6515100" y="704849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Zoom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F4C8E9-C2CA-4C8A-9401-6170BB903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152399</xdr:rowOff>
    </xdr:from>
    <xdr:to>
      <xdr:col>1</xdr:col>
      <xdr:colOff>621030</xdr:colOff>
      <xdr:row>11</xdr:row>
      <xdr:rowOff>95250</xdr:rowOff>
    </xdr:to>
    <xdr:sp macro="[0]!Ktra_Chart_All" textlink="">
      <xdr:nvSpPr>
        <xdr:cNvPr id="2" name="Rectangle 1">
          <a:extLst>
            <a:ext uri="{FF2B5EF4-FFF2-40B4-BE49-F238E27FC236}">
              <a16:creationId xmlns:a16="http://schemas.microsoft.com/office/drawing/2014/main" id="{E8350E47-7D78-4C81-B04F-271AE1B57844}"/>
            </a:ext>
          </a:extLst>
        </xdr:cNvPr>
        <xdr:cNvSpPr>
          <a:spLocks/>
        </xdr:cNvSpPr>
      </xdr:nvSpPr>
      <xdr:spPr>
        <a:xfrm>
          <a:off x="180975" y="2209799"/>
          <a:ext cx="1554480" cy="68580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All Chart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8F0A76-5674-4BC9-8100-947C1BD40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22</xdr:row>
      <xdr:rowOff>219075</xdr:rowOff>
    </xdr:from>
    <xdr:to>
      <xdr:col>1</xdr:col>
      <xdr:colOff>659130</xdr:colOff>
      <xdr:row>26</xdr:row>
      <xdr:rowOff>38101</xdr:rowOff>
    </xdr:to>
    <xdr:sp macro="[0]!Ktra_Chart_Don" textlink="">
      <xdr:nvSpPr>
        <xdr:cNvPr id="5" name="Rectangle 4">
          <a:extLst>
            <a:ext uri="{FF2B5EF4-FFF2-40B4-BE49-F238E27FC236}">
              <a16:creationId xmlns:a16="http://schemas.microsoft.com/office/drawing/2014/main" id="{76DEA8D9-C1BB-4F8E-9F5C-965B6641C2F7}"/>
            </a:ext>
          </a:extLst>
        </xdr:cNvPr>
        <xdr:cNvSpPr>
          <a:spLocks/>
        </xdr:cNvSpPr>
      </xdr:nvSpPr>
      <xdr:spPr>
        <a:xfrm>
          <a:off x="219075" y="5743575"/>
          <a:ext cx="1554480" cy="685801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 1 Chart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142874</xdr:rowOff>
    </xdr:from>
    <xdr:to>
      <xdr:col>1</xdr:col>
      <xdr:colOff>621030</xdr:colOff>
      <xdr:row>12</xdr:row>
      <xdr:rowOff>76199</xdr:rowOff>
    </xdr:to>
    <xdr:sp macro="[0]!Ktra_Table" textlink="">
      <xdr:nvSpPr>
        <xdr:cNvPr id="2" name="Rectangle 1">
          <a:extLst>
            <a:ext uri="{FF2B5EF4-FFF2-40B4-BE49-F238E27FC236}">
              <a16:creationId xmlns:a16="http://schemas.microsoft.com/office/drawing/2014/main" id="{5D93AFFC-7208-4FC3-8FED-41FA4A973BFE}"/>
            </a:ext>
          </a:extLst>
        </xdr:cNvPr>
        <xdr:cNvSpPr>
          <a:spLocks/>
        </xdr:cNvSpPr>
      </xdr:nvSpPr>
      <xdr:spPr>
        <a:xfrm>
          <a:off x="180975" y="2200274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Table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EC29B5-AD69-4906-8874-F7361CCCC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8</xdr:row>
      <xdr:rowOff>142874</xdr:rowOff>
    </xdr:from>
    <xdr:to>
      <xdr:col>1</xdr:col>
      <xdr:colOff>621030</xdr:colOff>
      <xdr:row>12</xdr:row>
      <xdr:rowOff>76199</xdr:rowOff>
    </xdr:to>
    <xdr:sp macro="[0]!Ktra_3D_Model" textlink="">
      <xdr:nvSpPr>
        <xdr:cNvPr id="2" name="Rectangle 1">
          <a:extLst>
            <a:ext uri="{FF2B5EF4-FFF2-40B4-BE49-F238E27FC236}">
              <a16:creationId xmlns:a16="http://schemas.microsoft.com/office/drawing/2014/main" id="{64FEF289-8CCB-4D82-A080-DEB330815282}"/>
            </a:ext>
          </a:extLst>
        </xdr:cNvPr>
        <xdr:cNvSpPr>
          <a:spLocks/>
        </xdr:cNvSpPr>
      </xdr:nvSpPr>
      <xdr:spPr>
        <a:xfrm>
          <a:off x="180975" y="2200274"/>
          <a:ext cx="1554480" cy="9144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3D Model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60A774-FBB9-4CA4-AFC3-EBA7A78E6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514350</xdr:colOff>
      <xdr:row>1</xdr:row>
      <xdr:rowOff>247649</xdr:rowOff>
    </xdr:from>
    <xdr:to>
      <xdr:col>8</xdr:col>
      <xdr:colOff>849630</xdr:colOff>
      <xdr:row>5</xdr:row>
      <xdr:rowOff>28575</xdr:rowOff>
    </xdr:to>
    <xdr:sp macro="[0]!Ktra_Hyperlink_Website" textlink="">
      <xdr:nvSpPr>
        <xdr:cNvPr id="2" name="Rectangle 1">
          <a:extLst>
            <a:ext uri="{FF2B5EF4-FFF2-40B4-BE49-F238E27FC236}">
              <a16:creationId xmlns:a16="http://schemas.microsoft.com/office/drawing/2014/main" id="{12D5BBDA-5B56-4540-9808-9DFB9E2F602F}"/>
            </a:ext>
          </a:extLst>
        </xdr:cNvPr>
        <xdr:cNvSpPr>
          <a:spLocks/>
        </xdr:cNvSpPr>
      </xdr:nvSpPr>
      <xdr:spPr>
        <a:xfrm>
          <a:off x="5248275" y="571499"/>
          <a:ext cx="1554480" cy="77152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Hyperlink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254BC0-6426-4501-9A34-67DA493F4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6</xdr:col>
      <xdr:colOff>561975</xdr:colOff>
      <xdr:row>14</xdr:row>
      <xdr:rowOff>209550</xdr:rowOff>
    </xdr:from>
    <xdr:to>
      <xdr:col>8</xdr:col>
      <xdr:colOff>897255</xdr:colOff>
      <xdr:row>18</xdr:row>
      <xdr:rowOff>57151</xdr:rowOff>
    </xdr:to>
    <xdr:sp macro="[0]!Ktra_Comment" textlink="">
      <xdr:nvSpPr>
        <xdr:cNvPr id="5" name="Rectangle 4">
          <a:extLst>
            <a:ext uri="{FF2B5EF4-FFF2-40B4-BE49-F238E27FC236}">
              <a16:creationId xmlns:a16="http://schemas.microsoft.com/office/drawing/2014/main" id="{B32D7688-4381-4B9B-8C09-272F852489B9}"/>
            </a:ext>
          </a:extLst>
        </xdr:cNvPr>
        <xdr:cNvSpPr>
          <a:spLocks/>
        </xdr:cNvSpPr>
      </xdr:nvSpPr>
      <xdr:spPr>
        <a:xfrm>
          <a:off x="5295900" y="3733800"/>
          <a:ext cx="1554480" cy="77152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Comment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209550</xdr:colOff>
      <xdr:row>2</xdr:row>
      <xdr:rowOff>47624</xdr:rowOff>
    </xdr:from>
    <xdr:to>
      <xdr:col>11</xdr:col>
      <xdr:colOff>209550</xdr:colOff>
      <xdr:row>5</xdr:row>
      <xdr:rowOff>76200</xdr:rowOff>
    </xdr:to>
    <xdr:sp macro="[0]!Ktra_Audio" textlink="">
      <xdr:nvSpPr>
        <xdr:cNvPr id="2" name="Rectangle 1">
          <a:extLst>
            <a:ext uri="{FF2B5EF4-FFF2-40B4-BE49-F238E27FC236}">
              <a16:creationId xmlns:a16="http://schemas.microsoft.com/office/drawing/2014/main" id="{DCED4FF4-0873-45D0-A901-020D54796AC9}"/>
            </a:ext>
          </a:extLst>
        </xdr:cNvPr>
        <xdr:cNvSpPr>
          <a:spLocks/>
        </xdr:cNvSpPr>
      </xdr:nvSpPr>
      <xdr:spPr>
        <a:xfrm>
          <a:off x="7372350" y="619124"/>
          <a:ext cx="1343025" cy="77152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Audio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749D97-30AA-47F3-A251-501E4F4F2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247650</xdr:colOff>
      <xdr:row>3</xdr:row>
      <xdr:rowOff>200024</xdr:rowOff>
    </xdr:from>
    <xdr:to>
      <xdr:col>1</xdr:col>
      <xdr:colOff>476250</xdr:colOff>
      <xdr:row>6</xdr:row>
      <xdr:rowOff>133350</xdr:rowOff>
    </xdr:to>
    <xdr:sp macro="[0]!Ktra_HeadersFooters_AllSlide" textlink="">
      <xdr:nvSpPr>
        <xdr:cNvPr id="2" name="Rectangle 1">
          <a:extLst>
            <a:ext uri="{FF2B5EF4-FFF2-40B4-BE49-F238E27FC236}">
              <a16:creationId xmlns:a16="http://schemas.microsoft.com/office/drawing/2014/main" id="{C7251061-69AB-4956-AC70-1F7E3AEA59C5}"/>
            </a:ext>
          </a:extLst>
        </xdr:cNvPr>
        <xdr:cNvSpPr>
          <a:spLocks/>
        </xdr:cNvSpPr>
      </xdr:nvSpPr>
      <xdr:spPr>
        <a:xfrm>
          <a:off x="247650" y="1019174"/>
          <a:ext cx="1343025" cy="676276"/>
        </a:xfrm>
        <a:prstGeom prst="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Footer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1</xdr:row>
      <xdr:rowOff>36150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F08CF6-908E-42A9-BA40-F9BED7465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19</xdr:row>
      <xdr:rowOff>133350</xdr:rowOff>
    </xdr:from>
    <xdr:to>
      <xdr:col>1</xdr:col>
      <xdr:colOff>495300</xdr:colOff>
      <xdr:row>22</xdr:row>
      <xdr:rowOff>66676</xdr:rowOff>
    </xdr:to>
    <xdr:sp macro="[0]!Ktra_HeadersFooters_1Slide" textlink="">
      <xdr:nvSpPr>
        <xdr:cNvPr id="5" name="Rectangle 4">
          <a:extLst>
            <a:ext uri="{FF2B5EF4-FFF2-40B4-BE49-F238E27FC236}">
              <a16:creationId xmlns:a16="http://schemas.microsoft.com/office/drawing/2014/main" id="{3222793D-A7FF-4DD9-BADE-586F264007B0}"/>
            </a:ext>
          </a:extLst>
        </xdr:cNvPr>
        <xdr:cNvSpPr>
          <a:spLocks/>
        </xdr:cNvSpPr>
      </xdr:nvSpPr>
      <xdr:spPr>
        <a:xfrm>
          <a:off x="266700" y="4914900"/>
          <a:ext cx="1343025" cy="67627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</a:p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Footer 1 Slide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3D93-E7B7-4F7D-9F18-CCF1D6446B4E}">
  <sheetPr codeName="sh_Overall"/>
  <dimension ref="A1:G36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2.140625" customWidth="1"/>
    <col min="2" max="2" width="5.5703125" customWidth="1"/>
    <col min="3" max="3" width="13.7109375" customWidth="1"/>
    <col min="4" max="4" width="85.140625" customWidth="1"/>
    <col min="5" max="5" width="1.7109375" customWidth="1"/>
    <col min="6" max="6" width="19" customWidth="1"/>
  </cols>
  <sheetData>
    <row r="1" spans="1:7" ht="30" customHeight="1" x14ac:dyDescent="0.25">
      <c r="A1" s="160" t="s">
        <v>385</v>
      </c>
      <c r="B1" s="160"/>
      <c r="C1" s="160"/>
      <c r="D1" s="160"/>
      <c r="E1" s="160"/>
    </row>
    <row r="2" spans="1:7" ht="51" customHeight="1" x14ac:dyDescent="0.25"/>
    <row r="3" spans="1:7" ht="39.950000000000003" customHeight="1" thickBot="1" x14ac:dyDescent="0.35">
      <c r="B3" s="161" t="s">
        <v>480</v>
      </c>
      <c r="C3" s="162"/>
      <c r="D3" s="138" t="s">
        <v>507</v>
      </c>
      <c r="E3" s="89"/>
    </row>
    <row r="4" spans="1:7" ht="9.75" customHeight="1" thickTop="1" x14ac:dyDescent="0.25">
      <c r="B4" s="48"/>
      <c r="C4" s="48"/>
    </row>
    <row r="5" spans="1:7" ht="21.95" customHeight="1" thickBot="1" x14ac:dyDescent="0.35">
      <c r="B5" s="163" t="s">
        <v>27</v>
      </c>
      <c r="C5" s="164"/>
      <c r="D5" s="88" t="s">
        <v>508</v>
      </c>
      <c r="E5" s="90"/>
    </row>
    <row r="6" spans="1:7" ht="5.0999999999999996" customHeight="1" thickTop="1" x14ac:dyDescent="0.25"/>
    <row r="7" spans="1:7" ht="20.100000000000001" customHeight="1" x14ac:dyDescent="0.25">
      <c r="B7" s="129"/>
      <c r="C7" s="135"/>
      <c r="D7" s="136"/>
      <c r="E7" s="129"/>
    </row>
    <row r="8" spans="1:7" ht="20.100000000000001" customHeight="1" thickBot="1" x14ac:dyDescent="0.3">
      <c r="B8" s="142" t="s">
        <v>481</v>
      </c>
      <c r="C8" s="143"/>
      <c r="D8" s="137"/>
      <c r="E8" s="129"/>
    </row>
    <row r="9" spans="1:7" ht="20.100000000000001" customHeight="1" thickTop="1" x14ac:dyDescent="0.25">
      <c r="B9" s="141" t="s">
        <v>482</v>
      </c>
      <c r="C9" s="5"/>
      <c r="D9" s="132"/>
      <c r="E9" s="129"/>
      <c r="G9" t="s">
        <v>470</v>
      </c>
    </row>
    <row r="10" spans="1:7" ht="20.100000000000001" customHeight="1" x14ac:dyDescent="0.25">
      <c r="B10" s="139"/>
      <c r="C10" s="131" t="s">
        <v>484</v>
      </c>
      <c r="D10" s="132"/>
      <c r="E10" s="129"/>
    </row>
    <row r="11" spans="1:7" ht="20.100000000000001" customHeight="1" x14ac:dyDescent="0.25">
      <c r="B11" s="139"/>
      <c r="C11" s="131" t="s">
        <v>485</v>
      </c>
      <c r="D11" s="132"/>
      <c r="E11" s="129"/>
    </row>
    <row r="12" spans="1:7" ht="20.100000000000001" customHeight="1" x14ac:dyDescent="0.25">
      <c r="B12" s="139"/>
      <c r="C12" s="131" t="s">
        <v>486</v>
      </c>
      <c r="D12" s="132"/>
      <c r="E12" s="129"/>
    </row>
    <row r="13" spans="1:7" ht="20.100000000000001" customHeight="1" x14ac:dyDescent="0.25">
      <c r="B13" s="141" t="s">
        <v>483</v>
      </c>
      <c r="C13" s="131"/>
      <c r="D13" s="132"/>
      <c r="E13" s="129"/>
    </row>
    <row r="14" spans="1:7" ht="20.100000000000001" customHeight="1" x14ac:dyDescent="0.25">
      <c r="B14" s="139"/>
      <c r="C14" s="131" t="s">
        <v>487</v>
      </c>
      <c r="D14" s="132"/>
      <c r="E14" s="129"/>
    </row>
    <row r="15" spans="1:7" ht="18.75" x14ac:dyDescent="0.25">
      <c r="B15" s="139"/>
      <c r="C15" s="131" t="s">
        <v>488</v>
      </c>
      <c r="D15" s="132"/>
      <c r="E15" s="129"/>
    </row>
    <row r="16" spans="1:7" ht="18.75" x14ac:dyDescent="0.25">
      <c r="B16" s="139"/>
      <c r="C16" s="131" t="s">
        <v>489</v>
      </c>
      <c r="D16" s="132"/>
      <c r="E16" s="129"/>
    </row>
    <row r="17" spans="2:5" ht="18.75" x14ac:dyDescent="0.25">
      <c r="B17" s="139"/>
      <c r="C17" s="131" t="s">
        <v>491</v>
      </c>
      <c r="D17" s="132"/>
      <c r="E17" s="129"/>
    </row>
    <row r="18" spans="2:5" ht="18.75" x14ac:dyDescent="0.25">
      <c r="B18" s="139"/>
      <c r="C18" s="131" t="s">
        <v>490</v>
      </c>
      <c r="D18" s="132"/>
      <c r="E18" s="129"/>
    </row>
    <row r="19" spans="2:5" ht="18.75" x14ac:dyDescent="0.25">
      <c r="B19" s="139"/>
      <c r="C19" s="131"/>
      <c r="D19" s="132"/>
      <c r="E19" s="129"/>
    </row>
    <row r="20" spans="2:5" ht="18.75" x14ac:dyDescent="0.25">
      <c r="B20" s="139"/>
      <c r="C20" s="131"/>
      <c r="D20" s="132"/>
      <c r="E20" s="129"/>
    </row>
    <row r="21" spans="2:5" ht="18.75" x14ac:dyDescent="0.25">
      <c r="B21" s="140"/>
      <c r="C21" s="133"/>
      <c r="D21" s="134"/>
      <c r="E21" s="129"/>
    </row>
    <row r="22" spans="2:5" ht="18.75" x14ac:dyDescent="0.25">
      <c r="B22" s="129"/>
      <c r="C22" s="131"/>
      <c r="D22" s="132"/>
      <c r="E22" s="129"/>
    </row>
    <row r="23" spans="2:5" ht="74.25" customHeight="1" x14ac:dyDescent="0.25">
      <c r="B23" s="129"/>
      <c r="C23" s="5"/>
      <c r="D23" s="132"/>
      <c r="E23" s="129"/>
    </row>
    <row r="24" spans="2:5" ht="18.75" x14ac:dyDescent="0.25">
      <c r="B24" s="130"/>
      <c r="C24" s="133"/>
      <c r="D24" s="134"/>
      <c r="E24" s="129"/>
    </row>
    <row r="25" spans="2:5" ht="18.75" x14ac:dyDescent="0.25">
      <c r="B25" s="129"/>
      <c r="C25" s="131"/>
      <c r="D25" s="132"/>
      <c r="E25" s="129"/>
    </row>
    <row r="26" spans="2:5" ht="18.75" x14ac:dyDescent="0.25">
      <c r="B26" s="129"/>
      <c r="C26" s="131"/>
      <c r="D26" s="132"/>
      <c r="E26" s="129"/>
    </row>
    <row r="27" spans="2:5" ht="18.75" x14ac:dyDescent="0.25">
      <c r="B27" s="129"/>
      <c r="C27" s="131"/>
      <c r="D27" s="132"/>
      <c r="E27" s="129"/>
    </row>
    <row r="28" spans="2:5" ht="18.75" x14ac:dyDescent="0.25">
      <c r="B28" s="129"/>
      <c r="C28" s="131"/>
      <c r="D28" s="132"/>
      <c r="E28" s="129"/>
    </row>
    <row r="29" spans="2:5" ht="18.75" x14ac:dyDescent="0.3">
      <c r="B29" s="64"/>
      <c r="C29" s="2"/>
      <c r="D29" s="2"/>
      <c r="E29" s="65"/>
    </row>
    <row r="30" spans="2:5" ht="18.75" x14ac:dyDescent="0.3">
      <c r="B30" s="64"/>
      <c r="C30" s="2"/>
      <c r="D30" s="2"/>
      <c r="E30" s="65"/>
    </row>
    <row r="31" spans="2:5" ht="18.75" x14ac:dyDescent="0.3">
      <c r="B31" s="64"/>
      <c r="C31" s="2"/>
      <c r="D31" s="2"/>
      <c r="E31" s="65"/>
    </row>
    <row r="32" spans="2:5" ht="18.75" x14ac:dyDescent="0.3">
      <c r="B32" s="64"/>
      <c r="C32" s="2"/>
      <c r="D32" s="2"/>
      <c r="E32" s="65"/>
    </row>
    <row r="33" spans="2:5" ht="18.75" x14ac:dyDescent="0.3">
      <c r="B33" s="64"/>
      <c r="C33" s="2"/>
      <c r="D33" s="2"/>
      <c r="E33" s="75"/>
    </row>
    <row r="34" spans="2:5" ht="18.75" x14ac:dyDescent="0.3">
      <c r="B34" s="64"/>
      <c r="C34" s="2"/>
      <c r="D34" s="2"/>
      <c r="E34" s="65"/>
    </row>
    <row r="35" spans="2:5" ht="18.75" x14ac:dyDescent="0.3">
      <c r="B35" s="64"/>
      <c r="C35" s="2"/>
      <c r="D35" s="2"/>
      <c r="E35" s="65"/>
    </row>
    <row r="36" spans="2:5" ht="18.75" x14ac:dyDescent="0.3">
      <c r="B36" s="64"/>
      <c r="C36" s="2"/>
      <c r="D36" s="2"/>
      <c r="E36" s="75"/>
    </row>
  </sheetData>
  <mergeCells count="3">
    <mergeCell ref="A1:E1"/>
    <mergeCell ref="B3:C3"/>
    <mergeCell ref="B5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D8EF-3F89-42CD-99F7-4337B2A8B84E}">
  <sheetPr codeName="Sheet3">
    <pageSetUpPr fitToPage="1"/>
  </sheetPr>
  <dimension ref="A1:I16"/>
  <sheetViews>
    <sheetView showGridLines="0" tabSelected="1" workbookViewId="0">
      <selection activeCell="B13" sqref="B13"/>
    </sheetView>
  </sheetViews>
  <sheetFormatPr defaultRowHeight="15" x14ac:dyDescent="0.25"/>
  <cols>
    <col min="1" max="1" width="6.42578125" customWidth="1"/>
    <col min="2" max="2" width="71.28515625" customWidth="1"/>
    <col min="3" max="4" width="9.28515625" customWidth="1"/>
    <col min="7" max="7" width="10.140625" bestFit="1" customWidth="1"/>
    <col min="8" max="9" width="9.140625" hidden="1" customWidth="1"/>
  </cols>
  <sheetData>
    <row r="1" spans="1:9" ht="30" customHeight="1" x14ac:dyDescent="0.25">
      <c r="A1" s="165" t="s">
        <v>471</v>
      </c>
      <c r="B1" s="165"/>
      <c r="C1" s="165"/>
      <c r="D1" s="165"/>
    </row>
    <row r="2" spans="1:9" ht="30" customHeight="1" x14ac:dyDescent="0.25">
      <c r="A2" s="166" t="s">
        <v>499</v>
      </c>
      <c r="B2" s="166"/>
      <c r="C2" s="166"/>
      <c r="D2" s="166"/>
    </row>
    <row r="3" spans="1:9" ht="9.9499999999999993" customHeight="1" x14ac:dyDescent="0.3">
      <c r="A3" s="2"/>
      <c r="B3" s="2"/>
      <c r="C3" s="2"/>
      <c r="D3" s="2"/>
    </row>
    <row r="4" spans="1:9" ht="21.75" customHeight="1" x14ac:dyDescent="0.3">
      <c r="A4" s="2" t="str">
        <f>"Họ tên: "&amp;H4</f>
        <v>Họ tên: PPoint</v>
      </c>
      <c r="B4" s="2"/>
      <c r="C4" s="2"/>
      <c r="D4" s="2"/>
      <c r="H4" t="s">
        <v>504</v>
      </c>
      <c r="I4" t="e">
        <f>'Chấm điểm'!#REF!</f>
        <v>#REF!</v>
      </c>
    </row>
    <row r="5" spans="1:9" ht="21.75" customHeight="1" x14ac:dyDescent="0.3">
      <c r="A5" s="2" t="str">
        <f>"Địa chỉ: "&amp;H5</f>
        <v>Địa chỉ: Project</v>
      </c>
      <c r="B5" s="2"/>
      <c r="C5" s="2"/>
      <c r="D5" s="2"/>
      <c r="H5" t="s">
        <v>505</v>
      </c>
    </row>
    <row r="6" spans="1:9" ht="9.9499999999999993" customHeight="1" x14ac:dyDescent="0.3">
      <c r="A6" s="2"/>
      <c r="B6" s="2"/>
      <c r="C6" s="2"/>
      <c r="D6" s="2"/>
      <c r="H6" t="s">
        <v>506</v>
      </c>
    </row>
    <row r="7" spans="1:9" ht="20.25" x14ac:dyDescent="0.3">
      <c r="A7" s="128" t="str">
        <f>"Tổng điểm: "&amp;D16</f>
        <v>Tổng điểm: 1000</v>
      </c>
      <c r="B7" s="2"/>
      <c r="C7" s="2"/>
      <c r="D7" s="2"/>
    </row>
    <row r="8" spans="1:9" ht="9.9499999999999993" customHeight="1" x14ac:dyDescent="0.3">
      <c r="A8" s="2"/>
      <c r="B8" s="2"/>
      <c r="C8" s="2"/>
      <c r="D8" s="2"/>
    </row>
    <row r="9" spans="1:9" ht="24.75" customHeight="1" x14ac:dyDescent="0.3">
      <c r="A9" s="153" t="s">
        <v>474</v>
      </c>
      <c r="B9" s="2"/>
      <c r="C9" s="2"/>
      <c r="D9" s="2"/>
    </row>
    <row r="10" spans="1:9" ht="24.95" customHeight="1" thickBot="1" x14ac:dyDescent="0.35">
      <c r="A10" s="127" t="s">
        <v>171</v>
      </c>
      <c r="B10" s="127" t="s">
        <v>475</v>
      </c>
      <c r="C10" s="127" t="s">
        <v>417</v>
      </c>
      <c r="D10" s="127" t="s">
        <v>476</v>
      </c>
    </row>
    <row r="11" spans="1:9" ht="54.95" customHeight="1" x14ac:dyDescent="0.25">
      <c r="A11" s="148">
        <v>1</v>
      </c>
      <c r="B11" s="151" t="s">
        <v>494</v>
      </c>
      <c r="C11" s="144">
        <v>200</v>
      </c>
      <c r="D11" s="144">
        <f>'Chấm điểm'!T2</f>
        <v>200</v>
      </c>
    </row>
    <row r="12" spans="1:9" ht="54.95" customHeight="1" x14ac:dyDescent="0.25">
      <c r="A12" s="149">
        <v>2</v>
      </c>
      <c r="B12" s="152" t="s">
        <v>495</v>
      </c>
      <c r="C12" s="145">
        <v>200</v>
      </c>
      <c r="D12" s="145">
        <f>'Chấm điểm'!T3</f>
        <v>200</v>
      </c>
    </row>
    <row r="13" spans="1:9" ht="54.95" customHeight="1" x14ac:dyDescent="0.25">
      <c r="A13" s="149">
        <v>3</v>
      </c>
      <c r="B13" s="152" t="s">
        <v>496</v>
      </c>
      <c r="C13" s="145">
        <v>200</v>
      </c>
      <c r="D13" s="145">
        <f>'Chấm điểm'!T4</f>
        <v>200</v>
      </c>
    </row>
    <row r="14" spans="1:9" ht="66" customHeight="1" x14ac:dyDescent="0.25">
      <c r="A14" s="149">
        <v>4</v>
      </c>
      <c r="B14" s="152" t="s">
        <v>497</v>
      </c>
      <c r="C14" s="145">
        <v>200</v>
      </c>
      <c r="D14" s="145">
        <f>'Chấm điểm'!T5</f>
        <v>200</v>
      </c>
    </row>
    <row r="15" spans="1:9" ht="54.95" customHeight="1" thickBot="1" x14ac:dyDescent="0.3">
      <c r="A15" s="149">
        <v>5</v>
      </c>
      <c r="B15" s="152" t="s">
        <v>498</v>
      </c>
      <c r="C15" s="145">
        <v>200</v>
      </c>
      <c r="D15" s="145">
        <f>'Chấm điểm'!T6</f>
        <v>200</v>
      </c>
    </row>
    <row r="16" spans="1:9" ht="24.95" customHeight="1" x14ac:dyDescent="0.25">
      <c r="A16" s="146"/>
      <c r="B16" s="147" t="s">
        <v>477</v>
      </c>
      <c r="C16" s="146">
        <f>SUM(C11:C15)</f>
        <v>1000</v>
      </c>
      <c r="D16" s="146">
        <f>SUM(D11:D15)</f>
        <v>1000</v>
      </c>
    </row>
  </sheetData>
  <mergeCells count="2">
    <mergeCell ref="A1:D1"/>
    <mergeCell ref="A2:D2"/>
  </mergeCells>
  <printOptions horizontalCentered="1"/>
  <pageMargins left="0.70866141732283472" right="0.70866141732283472" top="0.55118110236220474" bottom="0.55118110236220474" header="0.31496062992125984" footer="0.31496062992125984"/>
  <pageSetup paperSize="9"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E2F11-1B01-44A2-960C-C5F8911F7C49}">
  <sheetPr codeName="Sheet4"/>
  <dimension ref="A1:E65"/>
  <sheetViews>
    <sheetView topLeftCell="A44" workbookViewId="0">
      <selection activeCell="C50" sqref="C50"/>
    </sheetView>
  </sheetViews>
  <sheetFormatPr defaultRowHeight="15" x14ac:dyDescent="0.25"/>
  <cols>
    <col min="1" max="1" width="8.7109375" customWidth="1"/>
    <col min="2" max="2" width="16.28515625" customWidth="1"/>
    <col min="3" max="3" width="32.140625" customWidth="1"/>
    <col min="4" max="4" width="17.85546875" customWidth="1"/>
    <col min="5" max="5" width="12.85546875" customWidth="1"/>
  </cols>
  <sheetData>
    <row r="1" spans="1:5" ht="23.25" customHeight="1" x14ac:dyDescent="0.25">
      <c r="A1" s="167" t="s">
        <v>471</v>
      </c>
      <c r="B1" s="167"/>
      <c r="C1" s="167"/>
      <c r="D1" s="167"/>
      <c r="E1" s="167"/>
    </row>
    <row r="2" spans="1:5" ht="23.25" customHeight="1" x14ac:dyDescent="0.25">
      <c r="A2" s="167" t="s">
        <v>472</v>
      </c>
      <c r="B2" s="167"/>
      <c r="C2" s="167"/>
      <c r="D2" s="167"/>
      <c r="E2" s="167"/>
    </row>
    <row r="3" spans="1:5" ht="18.75" x14ac:dyDescent="0.3">
      <c r="A3" s="2"/>
      <c r="B3" s="2"/>
      <c r="C3" s="2"/>
      <c r="D3" s="2"/>
      <c r="E3" s="2"/>
    </row>
    <row r="4" spans="1:5" ht="19.5" thickBot="1" x14ac:dyDescent="0.35">
      <c r="A4" s="127" t="s">
        <v>171</v>
      </c>
      <c r="B4" s="127" t="s">
        <v>478</v>
      </c>
      <c r="C4" s="127" t="s">
        <v>473</v>
      </c>
      <c r="D4" s="127" t="s">
        <v>479</v>
      </c>
      <c r="E4" s="127" t="s">
        <v>417</v>
      </c>
    </row>
    <row r="5" spans="1:5" ht="18.75" x14ac:dyDescent="0.3">
      <c r="A5" s="126">
        <v>1</v>
      </c>
      <c r="B5" s="126" t="s">
        <v>504</v>
      </c>
      <c r="C5" s="126" t="s">
        <v>505</v>
      </c>
      <c r="D5" s="126" t="s">
        <v>506</v>
      </c>
      <c r="E5" s="126"/>
    </row>
    <row r="6" spans="1:5" ht="18.75" x14ac:dyDescent="0.3">
      <c r="A6" s="122">
        <v>2</v>
      </c>
      <c r="B6" s="122"/>
      <c r="C6" s="122"/>
      <c r="D6" s="122"/>
      <c r="E6" s="122"/>
    </row>
    <row r="7" spans="1:5" ht="18.75" x14ac:dyDescent="0.3">
      <c r="A7" s="122">
        <v>3</v>
      </c>
      <c r="B7" s="122"/>
      <c r="C7" s="122"/>
      <c r="D7" s="122"/>
      <c r="E7" s="122"/>
    </row>
    <row r="8" spans="1:5" ht="18.75" x14ac:dyDescent="0.3">
      <c r="A8" s="122">
        <v>4</v>
      </c>
      <c r="B8" s="122"/>
      <c r="C8" s="122"/>
      <c r="D8" s="122"/>
      <c r="E8" s="122"/>
    </row>
    <row r="9" spans="1:5" ht="18.75" x14ac:dyDescent="0.3">
      <c r="A9" s="122">
        <v>5</v>
      </c>
      <c r="B9" s="122"/>
      <c r="C9" s="122"/>
      <c r="D9" s="122"/>
      <c r="E9" s="122"/>
    </row>
    <row r="10" spans="1:5" ht="18.75" x14ac:dyDescent="0.3">
      <c r="A10" s="122">
        <v>6</v>
      </c>
      <c r="B10" s="122"/>
      <c r="C10" s="122"/>
      <c r="D10" s="122"/>
      <c r="E10" s="122"/>
    </row>
    <row r="11" spans="1:5" ht="18.75" x14ac:dyDescent="0.3">
      <c r="A11" s="122">
        <v>7</v>
      </c>
      <c r="B11" s="122"/>
      <c r="C11" s="122"/>
      <c r="D11" s="122"/>
      <c r="E11" s="122"/>
    </row>
    <row r="12" spans="1:5" ht="18.75" x14ac:dyDescent="0.3">
      <c r="A12" s="122">
        <v>8</v>
      </c>
      <c r="B12" s="122"/>
      <c r="C12" s="122"/>
      <c r="D12" s="122"/>
      <c r="E12" s="122"/>
    </row>
    <row r="13" spans="1:5" ht="18.75" x14ac:dyDescent="0.3">
      <c r="A13" s="122">
        <v>9</v>
      </c>
      <c r="B13" s="122"/>
      <c r="C13" s="122"/>
      <c r="D13" s="122"/>
      <c r="E13" s="122"/>
    </row>
    <row r="14" spans="1:5" ht="18.75" x14ac:dyDescent="0.3">
      <c r="A14" s="122">
        <v>10</v>
      </c>
      <c r="B14" s="122"/>
      <c r="C14" s="122"/>
      <c r="D14" s="122"/>
      <c r="E14" s="122"/>
    </row>
    <row r="15" spans="1:5" ht="18.75" x14ac:dyDescent="0.3">
      <c r="A15" s="122">
        <v>11</v>
      </c>
      <c r="B15" s="122"/>
      <c r="C15" s="122"/>
      <c r="D15" s="122"/>
      <c r="E15" s="122"/>
    </row>
    <row r="16" spans="1:5" ht="18.75" x14ac:dyDescent="0.3">
      <c r="A16" s="122">
        <v>12</v>
      </c>
      <c r="B16" s="122"/>
      <c r="C16" s="122"/>
      <c r="D16" s="122"/>
      <c r="E16" s="122"/>
    </row>
    <row r="17" spans="1:5" ht="18.75" x14ac:dyDescent="0.3">
      <c r="A17" s="122">
        <v>13</v>
      </c>
      <c r="B17" s="122"/>
      <c r="C17" s="122"/>
      <c r="D17" s="122"/>
      <c r="E17" s="122"/>
    </row>
    <row r="18" spans="1:5" ht="18.75" x14ac:dyDescent="0.3">
      <c r="A18" s="122">
        <v>14</v>
      </c>
      <c r="B18" s="122"/>
      <c r="C18" s="122"/>
      <c r="D18" s="122"/>
      <c r="E18" s="122"/>
    </row>
    <row r="19" spans="1:5" ht="18.75" x14ac:dyDescent="0.3">
      <c r="A19" s="122">
        <v>15</v>
      </c>
      <c r="B19" s="122"/>
      <c r="C19" s="122"/>
      <c r="D19" s="122"/>
      <c r="E19" s="122"/>
    </row>
    <row r="20" spans="1:5" ht="18.75" x14ac:dyDescent="0.3">
      <c r="A20" s="122">
        <v>16</v>
      </c>
      <c r="B20" s="122"/>
      <c r="C20" s="122"/>
      <c r="D20" s="122"/>
      <c r="E20" s="122"/>
    </row>
    <row r="21" spans="1:5" ht="18.75" x14ac:dyDescent="0.3">
      <c r="A21" s="122">
        <v>17</v>
      </c>
      <c r="B21" s="122"/>
      <c r="C21" s="122"/>
      <c r="D21" s="122"/>
      <c r="E21" s="122"/>
    </row>
    <row r="22" spans="1:5" ht="18.75" x14ac:dyDescent="0.3">
      <c r="A22" s="122">
        <v>18</v>
      </c>
      <c r="B22" s="122"/>
      <c r="C22" s="122"/>
      <c r="D22" s="122"/>
      <c r="E22" s="122"/>
    </row>
    <row r="23" spans="1:5" ht="18.75" x14ac:dyDescent="0.3">
      <c r="A23" s="122">
        <v>19</v>
      </c>
      <c r="B23" s="122"/>
      <c r="C23" s="122"/>
      <c r="D23" s="122"/>
      <c r="E23" s="122"/>
    </row>
    <row r="24" spans="1:5" ht="18.75" x14ac:dyDescent="0.3">
      <c r="A24" s="122">
        <v>20</v>
      </c>
      <c r="B24" s="122"/>
      <c r="C24" s="122"/>
      <c r="D24" s="122"/>
      <c r="E24" s="122"/>
    </row>
    <row r="25" spans="1:5" ht="18.75" x14ac:dyDescent="0.3">
      <c r="A25" s="122">
        <v>21</v>
      </c>
      <c r="B25" s="122"/>
      <c r="C25" s="122"/>
      <c r="D25" s="122"/>
      <c r="E25" s="122"/>
    </row>
    <row r="26" spans="1:5" ht="18.75" x14ac:dyDescent="0.3">
      <c r="A26" s="122">
        <v>22</v>
      </c>
      <c r="B26" s="122"/>
      <c r="C26" s="122"/>
      <c r="D26" s="122"/>
      <c r="E26" s="122"/>
    </row>
    <row r="27" spans="1:5" ht="18.75" x14ac:dyDescent="0.3">
      <c r="A27" s="122">
        <v>23</v>
      </c>
      <c r="B27" s="122"/>
      <c r="C27" s="122"/>
      <c r="D27" s="122"/>
      <c r="E27" s="122"/>
    </row>
    <row r="28" spans="1:5" ht="18.75" x14ac:dyDescent="0.3">
      <c r="A28" s="122">
        <v>24</v>
      </c>
      <c r="B28" s="122"/>
      <c r="C28" s="122"/>
      <c r="D28" s="122"/>
      <c r="E28" s="122"/>
    </row>
    <row r="29" spans="1:5" ht="18.75" x14ac:dyDescent="0.3">
      <c r="A29" s="122">
        <v>25</v>
      </c>
      <c r="B29" s="122"/>
      <c r="C29" s="122"/>
      <c r="D29" s="122"/>
      <c r="E29" s="122"/>
    </row>
    <row r="30" spans="1:5" ht="18.75" x14ac:dyDescent="0.3">
      <c r="A30" s="122">
        <v>26</v>
      </c>
      <c r="B30" s="122"/>
      <c r="C30" s="122"/>
      <c r="D30" s="122"/>
      <c r="E30" s="122"/>
    </row>
    <row r="31" spans="1:5" ht="18.75" x14ac:dyDescent="0.3">
      <c r="A31" s="122">
        <v>27</v>
      </c>
      <c r="B31" s="122"/>
      <c r="C31" s="122"/>
      <c r="D31" s="122"/>
      <c r="E31" s="122"/>
    </row>
    <row r="32" spans="1:5" ht="18.75" x14ac:dyDescent="0.3">
      <c r="A32" s="122">
        <v>28</v>
      </c>
      <c r="B32" s="122"/>
      <c r="C32" s="122"/>
      <c r="D32" s="122"/>
      <c r="E32" s="122"/>
    </row>
    <row r="33" spans="1:5" ht="18.75" x14ac:dyDescent="0.3">
      <c r="A33" s="122">
        <v>29</v>
      </c>
      <c r="B33" s="122"/>
      <c r="C33" s="122"/>
      <c r="D33" s="122"/>
      <c r="E33" s="122"/>
    </row>
    <row r="34" spans="1:5" ht="18.75" x14ac:dyDescent="0.3">
      <c r="A34" s="122">
        <v>30</v>
      </c>
      <c r="B34" s="122"/>
      <c r="C34" s="122"/>
      <c r="D34" s="122"/>
      <c r="E34" s="122"/>
    </row>
    <row r="35" spans="1:5" ht="18.75" x14ac:dyDescent="0.3">
      <c r="A35" s="122">
        <v>31</v>
      </c>
      <c r="B35" s="122"/>
      <c r="C35" s="122"/>
      <c r="D35" s="122"/>
      <c r="E35" s="122"/>
    </row>
    <row r="36" spans="1:5" ht="18.75" x14ac:dyDescent="0.3">
      <c r="A36" s="122">
        <v>32</v>
      </c>
      <c r="B36" s="122"/>
      <c r="C36" s="122"/>
      <c r="D36" s="122"/>
      <c r="E36" s="122"/>
    </row>
    <row r="37" spans="1:5" ht="18.75" x14ac:dyDescent="0.3">
      <c r="A37" s="122">
        <v>33</v>
      </c>
      <c r="B37" s="122"/>
      <c r="C37" s="122"/>
      <c r="D37" s="122"/>
      <c r="E37" s="122"/>
    </row>
    <row r="38" spans="1:5" ht="18.75" x14ac:dyDescent="0.3">
      <c r="A38" s="122">
        <v>34</v>
      </c>
      <c r="B38" s="122"/>
      <c r="C38" s="122"/>
      <c r="D38" s="122"/>
      <c r="E38" s="122"/>
    </row>
    <row r="39" spans="1:5" ht="18.75" x14ac:dyDescent="0.3">
      <c r="A39" s="122">
        <v>35</v>
      </c>
      <c r="B39" s="122"/>
      <c r="C39" s="122"/>
      <c r="D39" s="122"/>
      <c r="E39" s="122"/>
    </row>
    <row r="40" spans="1:5" ht="18.75" x14ac:dyDescent="0.3">
      <c r="A40" s="122">
        <v>36</v>
      </c>
      <c r="B40" s="122"/>
      <c r="C40" s="122"/>
      <c r="D40" s="122"/>
      <c r="E40" s="122"/>
    </row>
    <row r="41" spans="1:5" ht="18.75" x14ac:dyDescent="0.3">
      <c r="A41" s="122">
        <v>37</v>
      </c>
      <c r="B41" s="122"/>
      <c r="C41" s="122"/>
      <c r="D41" s="122"/>
      <c r="E41" s="122"/>
    </row>
    <row r="42" spans="1:5" ht="18.75" x14ac:dyDescent="0.3">
      <c r="A42" s="122">
        <v>38</v>
      </c>
      <c r="B42" s="122"/>
      <c r="C42" s="122"/>
      <c r="D42" s="122"/>
      <c r="E42" s="122"/>
    </row>
    <row r="43" spans="1:5" ht="18.75" x14ac:dyDescent="0.3">
      <c r="A43" s="122">
        <v>39</v>
      </c>
      <c r="B43" s="122"/>
      <c r="C43" s="122"/>
      <c r="D43" s="122"/>
      <c r="E43" s="122"/>
    </row>
    <row r="44" spans="1:5" ht="18.75" x14ac:dyDescent="0.3">
      <c r="A44" s="122">
        <v>40</v>
      </c>
      <c r="B44" s="122"/>
      <c r="C44" s="122"/>
      <c r="D44" s="122"/>
      <c r="E44" s="122"/>
    </row>
    <row r="45" spans="1:5" ht="18.75" x14ac:dyDescent="0.3">
      <c r="A45" s="122">
        <v>41</v>
      </c>
      <c r="B45" s="122"/>
      <c r="C45" s="122"/>
      <c r="D45" s="122"/>
      <c r="E45" s="122"/>
    </row>
    <row r="46" spans="1:5" ht="18.75" x14ac:dyDescent="0.3">
      <c r="A46" s="122">
        <v>42</v>
      </c>
      <c r="B46" s="122"/>
      <c r="C46" s="122"/>
      <c r="D46" s="122"/>
      <c r="E46" s="122"/>
    </row>
    <row r="47" spans="1:5" ht="18.75" x14ac:dyDescent="0.3">
      <c r="A47" s="122">
        <v>43</v>
      </c>
      <c r="B47" s="122"/>
      <c r="C47" s="122"/>
      <c r="D47" s="122"/>
      <c r="E47" s="122"/>
    </row>
    <row r="48" spans="1:5" ht="18.75" x14ac:dyDescent="0.3">
      <c r="A48" s="122">
        <v>44</v>
      </c>
      <c r="B48" s="122"/>
      <c r="C48" s="122"/>
      <c r="D48" s="122"/>
      <c r="E48" s="122"/>
    </row>
    <row r="49" spans="1:5" ht="18.75" x14ac:dyDescent="0.3">
      <c r="A49" s="122">
        <v>45</v>
      </c>
      <c r="B49" s="122"/>
      <c r="C49" s="122"/>
      <c r="D49" s="122"/>
      <c r="E49" s="122"/>
    </row>
    <row r="50" spans="1:5" ht="18.75" x14ac:dyDescent="0.3">
      <c r="A50" s="122">
        <v>46</v>
      </c>
      <c r="B50" s="122"/>
      <c r="C50" s="122"/>
      <c r="D50" s="122"/>
      <c r="E50" s="122"/>
    </row>
    <row r="51" spans="1:5" ht="18.75" x14ac:dyDescent="0.3">
      <c r="A51" s="122">
        <v>47</v>
      </c>
      <c r="B51" s="122"/>
      <c r="C51" s="122"/>
      <c r="D51" s="122"/>
      <c r="E51" s="122"/>
    </row>
    <row r="52" spans="1:5" ht="18.75" x14ac:dyDescent="0.3">
      <c r="A52" s="122">
        <v>48</v>
      </c>
      <c r="B52" s="122"/>
      <c r="C52" s="122"/>
      <c r="D52" s="122"/>
      <c r="E52" s="122"/>
    </row>
    <row r="53" spans="1:5" ht="18.75" x14ac:dyDescent="0.3">
      <c r="A53" s="122">
        <v>49</v>
      </c>
      <c r="B53" s="122"/>
      <c r="C53" s="122"/>
      <c r="D53" s="122"/>
      <c r="E53" s="122"/>
    </row>
    <row r="54" spans="1:5" ht="18.75" x14ac:dyDescent="0.3">
      <c r="A54" s="122">
        <v>50</v>
      </c>
      <c r="B54" s="122"/>
      <c r="C54" s="122"/>
      <c r="D54" s="122"/>
      <c r="E54" s="122"/>
    </row>
    <row r="55" spans="1:5" ht="18.75" x14ac:dyDescent="0.3">
      <c r="A55" s="122">
        <v>51</v>
      </c>
      <c r="B55" s="122"/>
      <c r="C55" s="122"/>
      <c r="D55" s="122"/>
      <c r="E55" s="122"/>
    </row>
    <row r="56" spans="1:5" ht="18.75" x14ac:dyDescent="0.3">
      <c r="A56" s="122">
        <v>52</v>
      </c>
      <c r="B56" s="122"/>
      <c r="C56" s="122"/>
      <c r="D56" s="122"/>
      <c r="E56" s="122"/>
    </row>
    <row r="57" spans="1:5" ht="18.75" x14ac:dyDescent="0.3">
      <c r="A57" s="122">
        <v>53</v>
      </c>
      <c r="B57" s="122"/>
      <c r="C57" s="122"/>
      <c r="D57" s="122"/>
      <c r="E57" s="122"/>
    </row>
    <row r="58" spans="1:5" ht="18.75" x14ac:dyDescent="0.3">
      <c r="A58" s="122">
        <v>54</v>
      </c>
      <c r="B58" s="122"/>
      <c r="C58" s="122"/>
      <c r="D58" s="122"/>
      <c r="E58" s="122"/>
    </row>
    <row r="59" spans="1:5" ht="18.75" x14ac:dyDescent="0.3">
      <c r="A59" s="122">
        <v>55</v>
      </c>
      <c r="B59" s="122"/>
      <c r="C59" s="122"/>
      <c r="D59" s="122"/>
      <c r="E59" s="122"/>
    </row>
    <row r="60" spans="1:5" ht="18.75" x14ac:dyDescent="0.3">
      <c r="A60" s="122">
        <v>56</v>
      </c>
      <c r="B60" s="122"/>
      <c r="C60" s="122"/>
      <c r="D60" s="122"/>
      <c r="E60" s="122"/>
    </row>
    <row r="61" spans="1:5" ht="18.75" x14ac:dyDescent="0.3">
      <c r="A61" s="122">
        <v>57</v>
      </c>
      <c r="B61" s="122"/>
      <c r="C61" s="122"/>
      <c r="D61" s="122"/>
      <c r="E61" s="122"/>
    </row>
    <row r="62" spans="1:5" ht="18.75" x14ac:dyDescent="0.3">
      <c r="A62" s="122">
        <v>58</v>
      </c>
      <c r="B62" s="122"/>
      <c r="C62" s="122"/>
      <c r="D62" s="122"/>
      <c r="E62" s="122"/>
    </row>
    <row r="63" spans="1:5" ht="18.75" x14ac:dyDescent="0.3">
      <c r="A63" s="122">
        <v>59</v>
      </c>
      <c r="B63" s="122"/>
      <c r="C63" s="122"/>
      <c r="D63" s="122"/>
      <c r="E63" s="122"/>
    </row>
    <row r="64" spans="1:5" ht="19.5" thickBot="1" x14ac:dyDescent="0.35">
      <c r="A64" s="123">
        <v>60</v>
      </c>
      <c r="B64" s="123"/>
      <c r="C64" s="123"/>
      <c r="D64" s="123"/>
      <c r="E64" s="123"/>
    </row>
    <row r="65" spans="1:5" ht="18.75" x14ac:dyDescent="0.3">
      <c r="A65" s="124"/>
      <c r="B65" s="125" t="s">
        <v>477</v>
      </c>
      <c r="C65" s="124">
        <f>COUNTA(C5:C64)</f>
        <v>1</v>
      </c>
      <c r="D65" s="124"/>
      <c r="E65" s="124"/>
    </row>
  </sheetData>
  <mergeCells count="2">
    <mergeCell ref="A1:E1"/>
    <mergeCell ref="A2:E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1EC7-9CAB-4D05-B1EC-19A94837512C}">
  <sheetPr codeName="sh_ChamDiem"/>
  <dimension ref="A1:Y41"/>
  <sheetViews>
    <sheetView showGridLines="0" zoomScale="85" zoomScaleNormal="85" workbookViewId="0">
      <pane ySplit="2" topLeftCell="A3" activePane="bottomLeft" state="frozen"/>
      <selection pane="bottomLeft" activeCell="K39" sqref="K39"/>
    </sheetView>
  </sheetViews>
  <sheetFormatPr defaultRowHeight="15" x14ac:dyDescent="0.25"/>
  <cols>
    <col min="1" max="1" width="3" customWidth="1"/>
    <col min="2" max="5" width="17.5703125" customWidth="1"/>
    <col min="6" max="6" width="3.7109375" customWidth="1"/>
    <col min="7" max="11" width="17.5703125" customWidth="1"/>
    <col min="12" max="12" width="3.7109375" customWidth="1"/>
    <col min="13" max="13" width="9.42578125" bestFit="1" customWidth="1"/>
    <col min="14" max="15" width="1.7109375" customWidth="1"/>
    <col min="16" max="16" width="13.7109375" customWidth="1"/>
    <col min="17" max="17" width="6.28515625" customWidth="1"/>
    <col min="18" max="18" width="8.42578125" customWidth="1"/>
    <col min="19" max="19" width="11.42578125" customWidth="1"/>
    <col min="20" max="20" width="7.140625" customWidth="1"/>
    <col min="21" max="21" width="11.140625" customWidth="1"/>
    <col min="22" max="22" width="26.42578125" bestFit="1" customWidth="1"/>
    <col min="23" max="23" width="24.140625" bestFit="1" customWidth="1"/>
    <col min="24" max="24" width="19.42578125" customWidth="1"/>
    <col min="25" max="25" width="24" customWidth="1"/>
  </cols>
  <sheetData>
    <row r="1" spans="1:25" ht="24" customHeight="1" x14ac:dyDescent="0.3">
      <c r="A1" s="66" t="s">
        <v>413</v>
      </c>
      <c r="N1" s="102"/>
      <c r="O1" s="103"/>
      <c r="P1" s="107"/>
      <c r="Q1" s="107" t="s">
        <v>418</v>
      </c>
      <c r="R1" s="108" t="s">
        <v>419</v>
      </c>
      <c r="S1" s="108" t="s">
        <v>420</v>
      </c>
      <c r="T1" s="108" t="s">
        <v>417</v>
      </c>
      <c r="U1" s="107" t="s">
        <v>436</v>
      </c>
      <c r="V1" s="107" t="s">
        <v>492</v>
      </c>
      <c r="W1" s="107" t="s">
        <v>67</v>
      </c>
      <c r="X1" s="107" t="s">
        <v>446</v>
      </c>
      <c r="Y1" s="107" t="s">
        <v>437</v>
      </c>
    </row>
    <row r="2" spans="1:25" ht="20.100000000000001" customHeight="1" thickBot="1" x14ac:dyDescent="0.3">
      <c r="N2" s="102"/>
      <c r="O2" s="103"/>
      <c r="Q2" s="110">
        <v>1</v>
      </c>
      <c r="R2" s="111">
        <f>COUNTA(M6:M10)</f>
        <v>5</v>
      </c>
      <c r="S2" s="111">
        <f>COUNTIF(M6:M10,TRUE)</f>
        <v>5</v>
      </c>
      <c r="T2" s="111">
        <f>IF(S2=R2,200,0)</f>
        <v>200</v>
      </c>
      <c r="U2" s="119" t="str">
        <f>ADDRESS(ROW(H6), COLUMN(H1))</f>
        <v>$H$6</v>
      </c>
      <c r="V2" s="119">
        <v>4</v>
      </c>
      <c r="W2" s="119" t="s">
        <v>500</v>
      </c>
      <c r="X2" s="120" t="str">
        <f>ADDRESS(ROW(H6), COLUMN(H6))&amp;":"&amp;ADDRESS(ROW(H10), COLUMN(H10))</f>
        <v>$H$6:$H$10</v>
      </c>
      <c r="Y2" s="112"/>
    </row>
    <row r="3" spans="1:25" ht="18" customHeight="1" x14ac:dyDescent="0.3">
      <c r="A3" s="100" t="s">
        <v>414</v>
      </c>
      <c r="B3" s="101"/>
      <c r="C3" s="101"/>
      <c r="D3" s="101"/>
      <c r="E3" s="101"/>
      <c r="F3" s="150"/>
      <c r="G3" s="101"/>
      <c r="H3" s="101"/>
      <c r="I3" s="101"/>
      <c r="J3" s="101"/>
      <c r="K3" s="101"/>
      <c r="L3" s="101"/>
      <c r="M3" s="101"/>
      <c r="N3" s="102"/>
      <c r="O3" s="103"/>
      <c r="Q3" s="113">
        <v>2</v>
      </c>
      <c r="R3" s="114">
        <f>COUNTA(M14:M16)</f>
        <v>3</v>
      </c>
      <c r="S3" s="114">
        <f>COUNTIF(M14:M16,TRUE)</f>
        <v>3</v>
      </c>
      <c r="T3" s="114">
        <f>IF(S3=R3,200,0)</f>
        <v>200</v>
      </c>
      <c r="U3" s="120" t="str">
        <f>ADDRESS(ROW(H14), COLUMN(H1))</f>
        <v>$H$14</v>
      </c>
      <c r="V3" s="120" t="s">
        <v>502</v>
      </c>
      <c r="W3" s="120" t="s">
        <v>501</v>
      </c>
      <c r="X3" s="120" t="str">
        <f>ADDRESS(ROW(H14), COLUMN(H14))&amp;":"&amp;ADDRESS(ROW(H16), COLUMN(H16))</f>
        <v>$H$14:$H$16</v>
      </c>
      <c r="Y3" s="115"/>
    </row>
    <row r="4" spans="1:25" ht="20.100000000000001" customHeight="1" x14ac:dyDescent="0.3">
      <c r="A4" s="2"/>
      <c r="B4" s="91" t="s">
        <v>415</v>
      </c>
      <c r="C4" s="91"/>
      <c r="D4" s="98"/>
      <c r="F4" s="8"/>
      <c r="G4" s="9" t="s">
        <v>34</v>
      </c>
      <c r="H4" s="10"/>
      <c r="M4" s="99" t="s">
        <v>416</v>
      </c>
      <c r="N4" s="102"/>
      <c r="O4" s="103"/>
      <c r="Q4" s="113">
        <v>3</v>
      </c>
      <c r="R4" s="114">
        <f>COUNTA(M22:M24)</f>
        <v>2</v>
      </c>
      <c r="S4" s="114">
        <f>COUNTIF(M22:M24,TRUE)</f>
        <v>2</v>
      </c>
      <c r="T4" s="114">
        <f>IF(S4=R4,200,0)</f>
        <v>200</v>
      </c>
      <c r="U4" s="120" t="str">
        <f>ADDRESS(ROW(H22),COLUMN(H1))</f>
        <v>$H$22</v>
      </c>
      <c r="V4" s="120"/>
      <c r="W4" s="120"/>
      <c r="X4" s="120" t="str">
        <f>ADDRESS(ROW(H22), COLUMN(H22))&amp;":"&amp;ADDRESS(ROW(J25), COLUMN(J25))</f>
        <v>$H$22:$J$25</v>
      </c>
      <c r="Y4" s="115"/>
    </row>
    <row r="5" spans="1:25" ht="20.100000000000001" customHeight="1" x14ac:dyDescent="0.25">
      <c r="F5" s="8"/>
      <c r="N5" s="102"/>
      <c r="O5" s="103"/>
      <c r="Q5" s="113">
        <v>4</v>
      </c>
      <c r="R5" s="114">
        <f>COUNTA(M29:M32)</f>
        <v>1</v>
      </c>
      <c r="S5" s="114">
        <f>COUNTIF(M29:M32,TRUE)</f>
        <v>1</v>
      </c>
      <c r="T5" s="114">
        <f>IF(S5=R5,200,0)</f>
        <v>200</v>
      </c>
      <c r="U5" s="120" t="str">
        <f>ADDRESS(ROW(H29),COLUMN(H1))</f>
        <v>$H$29</v>
      </c>
      <c r="V5" s="120" t="s">
        <v>512</v>
      </c>
      <c r="W5" s="120"/>
      <c r="X5" s="120" t="str">
        <f>ADDRESS(ROW(H29), COLUMN(H29))&amp;":"&amp;ADDRESS(ROW(H32), COLUMN(H32))</f>
        <v>$H$29:$H$32</v>
      </c>
      <c r="Y5" s="115"/>
    </row>
    <row r="6" spans="1:25" ht="20.100000000000001" customHeight="1" x14ac:dyDescent="0.3">
      <c r="A6" s="2"/>
      <c r="B6" s="121" t="s">
        <v>104</v>
      </c>
      <c r="C6" s="47" t="s">
        <v>493</v>
      </c>
      <c r="D6" s="104"/>
      <c r="F6" s="8"/>
      <c r="G6" s="121" t="s">
        <v>104</v>
      </c>
      <c r="H6" s="47" t="s">
        <v>493</v>
      </c>
      <c r="M6" s="32" t="b">
        <f t="shared" ref="M6:M8" si="0">C6=H6</f>
        <v>1</v>
      </c>
      <c r="N6" s="102"/>
      <c r="O6" s="103"/>
      <c r="Q6" s="113">
        <v>5</v>
      </c>
      <c r="R6" s="114">
        <f>COUNTA(M37:M39)</f>
        <v>2</v>
      </c>
      <c r="S6" s="114">
        <f>COUNTIF(M37:M39,TRUE)</f>
        <v>2</v>
      </c>
      <c r="T6" s="114">
        <f>IF(S6=R6,200,0)</f>
        <v>200</v>
      </c>
      <c r="U6" s="120" t="str">
        <f>ADDRESS(ROW(H37),COLUMN(H1))</f>
        <v>$H$37</v>
      </c>
      <c r="V6" s="120" t="s">
        <v>516</v>
      </c>
      <c r="W6" s="120"/>
      <c r="X6" s="120" t="str">
        <f>ADDRESS(ROW(H37), COLUMN(H37))&amp;":"&amp;ADDRESS(ROW(H39), COLUMN(H39))</f>
        <v>$H$37:$H$39</v>
      </c>
      <c r="Y6" s="115"/>
    </row>
    <row r="7" spans="1:25" ht="20.100000000000001" customHeight="1" x14ac:dyDescent="0.3">
      <c r="B7" s="121" t="s">
        <v>464</v>
      </c>
      <c r="C7" s="47">
        <v>44</v>
      </c>
      <c r="D7" s="104"/>
      <c r="F7" s="8"/>
      <c r="G7" s="121" t="s">
        <v>464</v>
      </c>
      <c r="H7" s="47">
        <v>44</v>
      </c>
      <c r="M7" s="32" t="b">
        <f t="shared" si="0"/>
        <v>1</v>
      </c>
      <c r="N7" s="102"/>
      <c r="O7" s="103"/>
      <c r="Q7" s="113"/>
      <c r="R7" s="114"/>
      <c r="S7" s="114"/>
      <c r="T7" s="114"/>
      <c r="U7" s="120"/>
      <c r="V7" s="120"/>
      <c r="W7" s="120"/>
      <c r="X7" s="120"/>
      <c r="Y7" s="115"/>
    </row>
    <row r="8" spans="1:25" ht="20.100000000000001" customHeight="1" x14ac:dyDescent="0.3">
      <c r="B8" s="121" t="s">
        <v>465</v>
      </c>
      <c r="C8" s="47">
        <v>0</v>
      </c>
      <c r="D8" s="104"/>
      <c r="F8" s="8"/>
      <c r="G8" s="121" t="s">
        <v>465</v>
      </c>
      <c r="H8" s="47">
        <v>0</v>
      </c>
      <c r="M8" s="32" t="b">
        <f t="shared" si="0"/>
        <v>1</v>
      </c>
      <c r="N8" s="102"/>
      <c r="O8" s="103"/>
      <c r="Q8" s="113"/>
      <c r="R8" s="114"/>
      <c r="S8" s="114"/>
      <c r="T8" s="114"/>
      <c r="U8" s="120"/>
      <c r="V8" s="120"/>
      <c r="W8" s="120"/>
      <c r="X8" s="120"/>
      <c r="Y8" s="115"/>
    </row>
    <row r="9" spans="1:25" ht="20.100000000000001" customHeight="1" x14ac:dyDescent="0.3">
      <c r="B9" s="121" t="s">
        <v>108</v>
      </c>
      <c r="C9" s="47">
        <v>-1</v>
      </c>
      <c r="D9" s="104"/>
      <c r="F9" s="8"/>
      <c r="G9" s="121" t="s">
        <v>108</v>
      </c>
      <c r="H9" s="47">
        <v>-1</v>
      </c>
      <c r="M9" s="32" t="b">
        <f t="shared" ref="M9:M10" si="1">C9=H9</f>
        <v>1</v>
      </c>
      <c r="N9" s="102"/>
      <c r="O9" s="103"/>
      <c r="Q9" s="113"/>
      <c r="R9" s="114"/>
      <c r="S9" s="114"/>
      <c r="T9" s="114"/>
      <c r="U9" s="120"/>
      <c r="V9" s="120"/>
      <c r="W9" s="120"/>
      <c r="X9" s="120"/>
      <c r="Y9" s="115"/>
    </row>
    <row r="10" spans="1:25" ht="20.100000000000001" customHeight="1" thickBot="1" x14ac:dyDescent="0.35">
      <c r="B10" s="121" t="s">
        <v>109</v>
      </c>
      <c r="C10" s="47">
        <v>0</v>
      </c>
      <c r="F10" s="8"/>
      <c r="G10" s="121" t="s">
        <v>109</v>
      </c>
      <c r="H10" s="47">
        <v>0</v>
      </c>
      <c r="M10" s="32" t="b">
        <f t="shared" si="1"/>
        <v>1</v>
      </c>
      <c r="N10" s="102"/>
      <c r="O10" s="103"/>
      <c r="Q10" s="113"/>
      <c r="R10" s="114"/>
      <c r="S10" s="114"/>
      <c r="T10" s="114"/>
      <c r="U10" s="120"/>
      <c r="V10" s="120"/>
      <c r="W10" s="120"/>
      <c r="X10" s="120"/>
      <c r="Y10" s="115"/>
    </row>
    <row r="11" spans="1:25" ht="20.100000000000001" customHeight="1" x14ac:dyDescent="0.3">
      <c r="A11" s="100" t="s">
        <v>421</v>
      </c>
      <c r="B11" s="101"/>
      <c r="C11" s="101"/>
      <c r="D11" s="101"/>
      <c r="E11" s="101"/>
      <c r="F11" s="150"/>
      <c r="G11" s="101"/>
      <c r="H11" s="101"/>
      <c r="I11" s="101"/>
      <c r="J11" s="101"/>
      <c r="K11" s="101"/>
      <c r="L11" s="101"/>
      <c r="M11" s="101"/>
      <c r="N11" s="102"/>
      <c r="O11" s="103"/>
      <c r="Q11" s="113"/>
      <c r="R11" s="114"/>
      <c r="S11" s="114"/>
      <c r="T11" s="114"/>
      <c r="U11" s="120"/>
      <c r="V11" s="120"/>
      <c r="W11" s="120"/>
      <c r="X11" s="120"/>
      <c r="Y11" s="115"/>
    </row>
    <row r="12" spans="1:25" ht="20.100000000000001" customHeight="1" x14ac:dyDescent="0.3">
      <c r="A12" s="2"/>
      <c r="B12" s="91" t="s">
        <v>415</v>
      </c>
      <c r="C12" s="91"/>
      <c r="D12" s="98"/>
      <c r="F12" s="8"/>
      <c r="G12" s="9" t="s">
        <v>34</v>
      </c>
      <c r="H12" s="10"/>
      <c r="I12" s="10"/>
      <c r="M12" s="99" t="s">
        <v>416</v>
      </c>
      <c r="N12" s="102"/>
      <c r="O12" s="103"/>
      <c r="Q12" s="113"/>
      <c r="R12" s="114"/>
      <c r="S12" s="114"/>
      <c r="T12" s="114"/>
      <c r="U12" s="120"/>
      <c r="V12" s="120"/>
      <c r="W12" s="120"/>
      <c r="X12" s="120"/>
      <c r="Y12" s="115"/>
    </row>
    <row r="13" spans="1:25" ht="20.100000000000001" customHeight="1" x14ac:dyDescent="0.3">
      <c r="B13" s="98"/>
      <c r="C13" s="98"/>
      <c r="D13" s="98"/>
      <c r="F13" s="8"/>
      <c r="G13" s="118"/>
      <c r="H13" s="118"/>
      <c r="I13" s="118"/>
      <c r="J13" s="118"/>
      <c r="K13" s="118"/>
      <c r="N13" s="102"/>
      <c r="O13" s="103"/>
      <c r="Q13" s="113"/>
      <c r="R13" s="114"/>
      <c r="S13" s="114"/>
      <c r="T13" s="114"/>
      <c r="U13" s="120"/>
      <c r="V13" s="120"/>
      <c r="W13" s="120"/>
      <c r="X13" s="120"/>
      <c r="Y13" s="115"/>
    </row>
    <row r="14" spans="1:25" ht="20.100000000000001" customHeight="1" x14ac:dyDescent="0.3">
      <c r="A14" s="2"/>
      <c r="B14" s="96" t="s">
        <v>24</v>
      </c>
      <c r="C14" s="97" t="s">
        <v>501</v>
      </c>
      <c r="D14" s="104"/>
      <c r="F14" s="8"/>
      <c r="G14" s="96" t="s">
        <v>416</v>
      </c>
      <c r="H14" s="97" t="b">
        <v>1</v>
      </c>
      <c r="I14" s="154"/>
      <c r="J14" s="104"/>
      <c r="K14" s="104"/>
      <c r="M14" s="32" t="b">
        <f>H14</f>
        <v>1</v>
      </c>
      <c r="N14" s="102"/>
      <c r="O14" s="103"/>
      <c r="Q14" s="113"/>
      <c r="R14" s="114"/>
      <c r="S14" s="114"/>
      <c r="T14" s="114"/>
      <c r="U14" s="120"/>
      <c r="V14" s="120"/>
      <c r="W14" s="120"/>
      <c r="X14" s="120"/>
      <c r="Y14" s="115"/>
    </row>
    <row r="15" spans="1:25" ht="20.100000000000001" customHeight="1" x14ac:dyDescent="0.3">
      <c r="B15" s="96" t="s">
        <v>320</v>
      </c>
      <c r="C15" s="97">
        <v>3</v>
      </c>
      <c r="D15" s="104"/>
      <c r="F15" s="8"/>
      <c r="G15" s="96" t="s">
        <v>320</v>
      </c>
      <c r="H15" s="97">
        <v>3</v>
      </c>
      <c r="I15" s="154"/>
      <c r="J15" s="104"/>
      <c r="K15" s="104"/>
      <c r="M15" s="32" t="b">
        <f>C15=H15</f>
        <v>1</v>
      </c>
      <c r="N15" s="102"/>
      <c r="O15" s="103"/>
      <c r="Q15" s="113"/>
      <c r="R15" s="114"/>
      <c r="S15" s="114"/>
      <c r="T15" s="114"/>
      <c r="U15" s="120"/>
      <c r="V15" s="120"/>
      <c r="W15" s="120"/>
      <c r="X15" s="120"/>
      <c r="Y15" s="115"/>
    </row>
    <row r="16" spans="1:25" ht="20.100000000000001" customHeight="1" x14ac:dyDescent="0.3">
      <c r="B16" s="96" t="s">
        <v>503</v>
      </c>
      <c r="C16" s="97">
        <v>5</v>
      </c>
      <c r="D16" s="104"/>
      <c r="F16" s="8"/>
      <c r="G16" s="96" t="s">
        <v>503</v>
      </c>
      <c r="H16" s="97">
        <v>5</v>
      </c>
      <c r="I16" s="154"/>
      <c r="J16" s="104"/>
      <c r="K16" s="104"/>
      <c r="M16" s="32" t="b">
        <f>C16=H16</f>
        <v>1</v>
      </c>
      <c r="N16" s="102"/>
      <c r="O16" s="103"/>
      <c r="Q16" s="113"/>
      <c r="R16" s="114"/>
      <c r="S16" s="114"/>
      <c r="T16" s="114"/>
      <c r="U16" s="120"/>
      <c r="V16" s="120"/>
      <c r="W16" s="120"/>
      <c r="X16" s="120"/>
      <c r="Y16" s="115"/>
    </row>
    <row r="17" spans="1:25" ht="20.100000000000001" customHeight="1" x14ac:dyDescent="0.25">
      <c r="F17" s="8"/>
      <c r="N17" s="102"/>
      <c r="O17" s="103"/>
      <c r="Q17" s="113"/>
      <c r="R17" s="114"/>
      <c r="S17" s="114"/>
      <c r="T17" s="114"/>
      <c r="U17" s="120"/>
      <c r="V17" s="120"/>
      <c r="W17" s="120"/>
      <c r="X17" s="120"/>
      <c r="Y17" s="115"/>
    </row>
    <row r="18" spans="1:25" ht="20.100000000000001" customHeight="1" thickBot="1" x14ac:dyDescent="0.3">
      <c r="F18" s="8"/>
      <c r="N18" s="102"/>
      <c r="O18" s="103"/>
      <c r="Q18" s="113"/>
      <c r="R18" s="114"/>
      <c r="S18" s="114"/>
      <c r="T18" s="114"/>
      <c r="U18" s="120"/>
      <c r="V18" s="120"/>
      <c r="W18" s="120"/>
      <c r="X18" s="120"/>
      <c r="Y18" s="115"/>
    </row>
    <row r="19" spans="1:25" ht="20.100000000000001" customHeight="1" x14ac:dyDescent="0.3">
      <c r="A19" s="100" t="s">
        <v>422</v>
      </c>
      <c r="B19" s="101"/>
      <c r="C19" s="101"/>
      <c r="D19" s="101"/>
      <c r="E19" s="101"/>
      <c r="F19" s="150"/>
      <c r="G19" s="101"/>
      <c r="H19" s="101"/>
      <c r="I19" s="101"/>
      <c r="J19" s="101"/>
      <c r="K19" s="101"/>
      <c r="L19" s="101"/>
      <c r="M19" s="101"/>
      <c r="N19" s="102"/>
      <c r="O19" s="103"/>
      <c r="Q19" s="113"/>
      <c r="R19" s="114"/>
      <c r="S19" s="114"/>
      <c r="T19" s="114"/>
      <c r="U19" s="120"/>
      <c r="V19" s="120"/>
      <c r="W19" s="120"/>
      <c r="X19" s="120"/>
      <c r="Y19" s="115"/>
    </row>
    <row r="20" spans="1:25" ht="20.100000000000001" customHeight="1" x14ac:dyDescent="0.3">
      <c r="A20" s="2"/>
      <c r="B20" s="91" t="s">
        <v>415</v>
      </c>
      <c r="C20" s="91"/>
      <c r="D20" s="98"/>
      <c r="F20" s="8"/>
      <c r="G20" s="9" t="s">
        <v>34</v>
      </c>
      <c r="H20" s="10"/>
      <c r="M20" s="99" t="s">
        <v>416</v>
      </c>
      <c r="N20" s="102"/>
      <c r="O20" s="103"/>
      <c r="Q20" s="113"/>
      <c r="R20" s="114"/>
      <c r="S20" s="114"/>
      <c r="T20" s="114"/>
      <c r="U20" s="120"/>
      <c r="V20" s="120"/>
      <c r="W20" s="120"/>
      <c r="X20" s="120"/>
      <c r="Y20" s="115"/>
    </row>
    <row r="21" spans="1:25" ht="20.100000000000001" customHeight="1" x14ac:dyDescent="0.3">
      <c r="B21" s="106" t="s">
        <v>467</v>
      </c>
      <c r="C21" s="106" t="s">
        <v>468</v>
      </c>
      <c r="D21" s="106" t="s">
        <v>469</v>
      </c>
      <c r="F21" s="8"/>
      <c r="G21" s="155"/>
      <c r="H21" s="106" t="s">
        <v>467</v>
      </c>
      <c r="I21" s="106" t="s">
        <v>468</v>
      </c>
      <c r="J21" s="106" t="s">
        <v>469</v>
      </c>
      <c r="N21" s="102"/>
      <c r="O21" s="103"/>
      <c r="Q21" s="113"/>
      <c r="R21" s="114"/>
      <c r="S21" s="114"/>
      <c r="T21" s="114"/>
      <c r="U21" s="120"/>
      <c r="V21" s="120"/>
      <c r="W21" s="120"/>
      <c r="X21" s="120"/>
      <c r="Y21" s="115"/>
    </row>
    <row r="22" spans="1:25" ht="20.100000000000001" customHeight="1" thickBot="1" x14ac:dyDescent="0.35">
      <c r="A22" s="2"/>
      <c r="B22" s="32" t="s">
        <v>509</v>
      </c>
      <c r="C22" s="32">
        <v>1</v>
      </c>
      <c r="D22" s="32">
        <v>1</v>
      </c>
      <c r="F22" s="8"/>
      <c r="G22" s="156"/>
      <c r="H22" s="32" t="s">
        <v>509</v>
      </c>
      <c r="I22" s="32">
        <v>1</v>
      </c>
      <c r="J22" s="32">
        <v>1</v>
      </c>
      <c r="M22" s="32" t="b">
        <f>IF(COUNTIF(H22:H25,"Part 2")=0, TRUE, FALSE)</f>
        <v>1</v>
      </c>
      <c r="N22" s="102"/>
      <c r="O22" s="103"/>
      <c r="P22" s="116"/>
      <c r="Q22" s="116"/>
      <c r="R22" s="117"/>
      <c r="S22" s="116" t="s">
        <v>425</v>
      </c>
      <c r="T22" s="117">
        <f>SUM(T2:T21)</f>
        <v>1000</v>
      </c>
      <c r="U22" s="117"/>
      <c r="V22" s="117"/>
      <c r="W22" s="117"/>
      <c r="X22" s="117"/>
      <c r="Y22" s="117"/>
    </row>
    <row r="23" spans="1:25" ht="20.100000000000001" customHeight="1" thickTop="1" x14ac:dyDescent="0.3">
      <c r="B23" s="32" t="s">
        <v>510</v>
      </c>
      <c r="C23" s="32">
        <v>2</v>
      </c>
      <c r="D23" s="32">
        <v>4</v>
      </c>
      <c r="F23" s="8"/>
      <c r="G23" s="156"/>
      <c r="H23" s="32" t="s">
        <v>510</v>
      </c>
      <c r="I23" s="32">
        <v>2</v>
      </c>
      <c r="J23" s="32">
        <v>4</v>
      </c>
      <c r="M23" s="32" t="b">
        <f>IF(COUNTIF(H22:H25,"Other")&gt;0, TRUE, FALSE)</f>
        <v>1</v>
      </c>
      <c r="N23" s="102"/>
      <c r="O23" s="103"/>
      <c r="Q23" s="1"/>
      <c r="U23" s="120"/>
      <c r="W23" s="120"/>
      <c r="X23" s="120"/>
    </row>
    <row r="24" spans="1:25" ht="20.100000000000001" customHeight="1" x14ac:dyDescent="0.3">
      <c r="B24" s="32" t="s">
        <v>511</v>
      </c>
      <c r="C24" s="32">
        <v>5</v>
      </c>
      <c r="D24" s="32">
        <v>5</v>
      </c>
      <c r="F24" s="8"/>
      <c r="G24" s="156"/>
      <c r="H24" s="32" t="s">
        <v>511</v>
      </c>
      <c r="I24" s="32">
        <v>5</v>
      </c>
      <c r="J24" s="32">
        <v>5</v>
      </c>
      <c r="M24" s="32"/>
      <c r="N24" s="102"/>
      <c r="O24" s="103"/>
      <c r="Q24" s="1"/>
    </row>
    <row r="25" spans="1:25" ht="20.100000000000001" customHeight="1" thickBot="1" x14ac:dyDescent="0.35">
      <c r="B25" s="32"/>
      <c r="C25" s="32"/>
      <c r="D25" s="159"/>
      <c r="F25" s="8"/>
      <c r="G25" s="157"/>
      <c r="H25" s="32"/>
      <c r="I25" s="32"/>
      <c r="J25" s="32"/>
      <c r="N25" s="102"/>
      <c r="O25" s="103"/>
      <c r="Q25" s="1"/>
    </row>
    <row r="26" spans="1:25" ht="20.100000000000001" customHeight="1" x14ac:dyDescent="0.3">
      <c r="A26" s="100" t="s">
        <v>423</v>
      </c>
      <c r="B26" s="101"/>
      <c r="C26" s="101"/>
      <c r="D26" s="101"/>
      <c r="E26" s="101"/>
      <c r="F26" s="150"/>
      <c r="G26" s="101"/>
      <c r="H26" s="101"/>
      <c r="I26" s="101"/>
      <c r="J26" s="101"/>
      <c r="K26" s="101"/>
      <c r="L26" s="101"/>
      <c r="M26" s="101"/>
      <c r="N26" s="102"/>
      <c r="O26" s="103"/>
      <c r="Q26" s="1"/>
    </row>
    <row r="27" spans="1:25" ht="20.100000000000001" customHeight="1" x14ac:dyDescent="0.3">
      <c r="A27" s="2"/>
      <c r="B27" s="91" t="s">
        <v>415</v>
      </c>
      <c r="C27" s="91"/>
      <c r="D27" s="98"/>
      <c r="F27" s="8"/>
      <c r="G27" s="9" t="s">
        <v>34</v>
      </c>
      <c r="H27" s="10"/>
      <c r="M27" s="99" t="s">
        <v>416</v>
      </c>
      <c r="N27" s="102"/>
      <c r="O27" s="103"/>
      <c r="Q27" s="1"/>
    </row>
    <row r="28" spans="1:25" ht="20.100000000000001" customHeight="1" x14ac:dyDescent="0.25">
      <c r="F28" s="8"/>
      <c r="N28" s="102"/>
      <c r="O28" s="103"/>
      <c r="Q28" s="1"/>
    </row>
    <row r="29" spans="1:25" ht="20.100000000000001" customHeight="1" x14ac:dyDescent="0.3">
      <c r="A29" s="2"/>
      <c r="B29" s="31" t="s">
        <v>203</v>
      </c>
      <c r="C29" s="47" t="s">
        <v>513</v>
      </c>
      <c r="D29" s="87"/>
      <c r="F29" s="8"/>
      <c r="G29" s="31" t="s">
        <v>203</v>
      </c>
      <c r="H29" s="47" t="s">
        <v>513</v>
      </c>
      <c r="M29" s="32"/>
      <c r="N29" s="102"/>
      <c r="O29" s="103"/>
      <c r="Q29" s="1"/>
    </row>
    <row r="30" spans="1:25" ht="20.100000000000001" customHeight="1" x14ac:dyDescent="0.3">
      <c r="B30" s="31" t="s">
        <v>398</v>
      </c>
      <c r="C30" s="47">
        <v>216</v>
      </c>
      <c r="D30" s="87"/>
      <c r="F30" s="8"/>
      <c r="G30" s="31" t="s">
        <v>398</v>
      </c>
      <c r="H30" s="47">
        <v>216</v>
      </c>
      <c r="M30" s="32"/>
      <c r="N30" s="102"/>
      <c r="O30" s="103"/>
      <c r="Q30" s="1"/>
    </row>
    <row r="31" spans="1:25" ht="20.100000000000001" customHeight="1" x14ac:dyDescent="0.3">
      <c r="B31" s="31" t="s">
        <v>466</v>
      </c>
      <c r="C31" s="47">
        <v>12</v>
      </c>
      <c r="D31" s="87"/>
      <c r="F31" s="8"/>
      <c r="G31" s="31" t="s">
        <v>466</v>
      </c>
      <c r="H31" s="47">
        <v>12</v>
      </c>
      <c r="M31" s="32"/>
      <c r="N31" s="102"/>
      <c r="O31" s="103"/>
      <c r="Q31" s="1"/>
    </row>
    <row r="32" spans="1:25" ht="20.100000000000001" customHeight="1" x14ac:dyDescent="0.3">
      <c r="B32" s="31" t="s">
        <v>515</v>
      </c>
      <c r="C32" s="47" t="s">
        <v>514</v>
      </c>
      <c r="F32" s="8"/>
      <c r="G32" s="31" t="s">
        <v>515</v>
      </c>
      <c r="H32" s="47" t="s">
        <v>514</v>
      </c>
      <c r="M32" s="32" t="b">
        <f>C32=H32</f>
        <v>1</v>
      </c>
      <c r="N32" s="102"/>
      <c r="O32" s="103"/>
      <c r="Q32" s="1"/>
    </row>
    <row r="33" spans="1:17" ht="20.100000000000001" customHeight="1" thickBot="1" x14ac:dyDescent="0.3">
      <c r="F33" s="8"/>
      <c r="N33" s="102"/>
      <c r="O33" s="103"/>
      <c r="Q33" s="1"/>
    </row>
    <row r="34" spans="1:17" ht="20.100000000000001" customHeight="1" x14ac:dyDescent="0.3">
      <c r="A34" s="100" t="s">
        <v>424</v>
      </c>
      <c r="B34" s="101"/>
      <c r="C34" s="101"/>
      <c r="D34" s="101"/>
      <c r="E34" s="101"/>
      <c r="F34" s="150"/>
      <c r="G34" s="101"/>
      <c r="H34" s="101"/>
      <c r="I34" s="101"/>
      <c r="J34" s="101"/>
      <c r="K34" s="101"/>
      <c r="L34" s="101"/>
      <c r="M34" s="101"/>
      <c r="N34" s="102"/>
      <c r="O34" s="103"/>
      <c r="Q34" s="1"/>
    </row>
    <row r="35" spans="1:17" ht="20.100000000000001" customHeight="1" x14ac:dyDescent="0.3">
      <c r="A35" s="2"/>
      <c r="B35" s="91" t="s">
        <v>415</v>
      </c>
      <c r="C35" s="91"/>
      <c r="D35" s="98"/>
      <c r="F35" s="8"/>
      <c r="G35" s="9" t="s">
        <v>34</v>
      </c>
      <c r="H35" s="10"/>
      <c r="M35" s="99" t="s">
        <v>416</v>
      </c>
      <c r="N35" s="102"/>
      <c r="O35" s="103"/>
      <c r="Q35" s="1"/>
    </row>
    <row r="36" spans="1:17" ht="20.100000000000001" customHeight="1" x14ac:dyDescent="0.25">
      <c r="F36" s="8"/>
      <c r="N36" s="102"/>
      <c r="O36" s="103"/>
      <c r="Q36" s="1"/>
    </row>
    <row r="37" spans="1:17" ht="20.100000000000001" customHeight="1" x14ac:dyDescent="0.3">
      <c r="A37" s="2"/>
      <c r="B37" s="31" t="s">
        <v>517</v>
      </c>
      <c r="C37" s="47">
        <v>6</v>
      </c>
      <c r="D37" s="87"/>
      <c r="F37" s="8"/>
      <c r="G37" s="31" t="s">
        <v>517</v>
      </c>
      <c r="H37" s="47">
        <v>6</v>
      </c>
      <c r="M37" s="32" t="b">
        <f>C37=H37</f>
        <v>1</v>
      </c>
      <c r="N37" s="102"/>
      <c r="O37" s="103"/>
      <c r="Q37" s="1"/>
    </row>
    <row r="38" spans="1:17" ht="20.100000000000001" customHeight="1" x14ac:dyDescent="0.3">
      <c r="B38" s="31" t="s">
        <v>518</v>
      </c>
      <c r="C38" s="47">
        <v>0</v>
      </c>
      <c r="D38" s="87"/>
      <c r="F38" s="8"/>
      <c r="G38" s="31" t="s">
        <v>518</v>
      </c>
      <c r="H38" s="158">
        <v>0</v>
      </c>
      <c r="M38" s="32" t="b">
        <f>C38=H38</f>
        <v>1</v>
      </c>
      <c r="N38" s="102"/>
      <c r="O38" s="103"/>
      <c r="Q38" s="1"/>
    </row>
    <row r="39" spans="1:17" ht="20.100000000000001" customHeight="1" x14ac:dyDescent="0.3">
      <c r="B39" s="31"/>
      <c r="C39" s="47"/>
      <c r="D39" s="87"/>
      <c r="F39" s="8"/>
      <c r="G39" s="31"/>
      <c r="H39" s="47"/>
      <c r="M39" s="32"/>
      <c r="N39" s="102"/>
      <c r="O39" s="103"/>
      <c r="Q39" s="1"/>
    </row>
    <row r="40" spans="1:17" ht="20.100000000000001" customHeight="1" x14ac:dyDescent="0.25">
      <c r="F40" s="8"/>
      <c r="N40" s="102"/>
      <c r="O40" s="103"/>
      <c r="Q40" s="1"/>
    </row>
    <row r="41" spans="1:17" x14ac:dyDescent="0.25">
      <c r="F41" s="8"/>
      <c r="N41" s="102"/>
      <c r="O41" s="103"/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A2E-41E8-4206-AB53-3DF2BA5BCB6F}">
  <sheetPr codeName="Sheet1"/>
  <dimension ref="A1:E22"/>
  <sheetViews>
    <sheetView workbookViewId="0">
      <selection activeCell="J171" sqref="J171"/>
    </sheetView>
  </sheetViews>
  <sheetFormatPr defaultRowHeight="15" x14ac:dyDescent="0.25"/>
  <cols>
    <col min="1" max="2" width="3.7109375" customWidth="1"/>
  </cols>
  <sheetData>
    <row r="1" spans="1:5" ht="22.5" x14ac:dyDescent="0.3">
      <c r="A1" s="66" t="s">
        <v>39</v>
      </c>
      <c r="B1" s="66"/>
    </row>
    <row r="3" spans="1:5" ht="18.75" x14ac:dyDescent="0.3">
      <c r="A3" s="98" t="s">
        <v>438</v>
      </c>
      <c r="B3" s="2"/>
      <c r="C3" s="2"/>
    </row>
    <row r="4" spans="1:5" ht="18.75" x14ac:dyDescent="0.3">
      <c r="A4" s="2"/>
      <c r="B4" s="98" t="s">
        <v>439</v>
      </c>
      <c r="C4" s="2"/>
      <c r="E4" s="109" t="s">
        <v>443</v>
      </c>
    </row>
    <row r="5" spans="1:5" ht="18.75" x14ac:dyDescent="0.3">
      <c r="A5" s="2"/>
      <c r="B5" s="2"/>
      <c r="C5" s="2" t="s">
        <v>440</v>
      </c>
    </row>
    <row r="6" spans="1:5" ht="18.75" x14ac:dyDescent="0.3">
      <c r="A6" s="2"/>
      <c r="B6" s="2"/>
      <c r="C6" s="2" t="s">
        <v>441</v>
      </c>
    </row>
    <row r="7" spans="1:5" ht="18.75" x14ac:dyDescent="0.3">
      <c r="A7" s="2"/>
      <c r="B7" s="2"/>
      <c r="C7" s="2" t="s">
        <v>442</v>
      </c>
    </row>
    <row r="8" spans="1:5" ht="18.75" x14ac:dyDescent="0.3">
      <c r="A8" s="2"/>
      <c r="B8" s="2"/>
      <c r="C8" s="2"/>
    </row>
    <row r="9" spans="1:5" ht="18.75" x14ac:dyDescent="0.3">
      <c r="A9" s="2"/>
      <c r="B9" s="98" t="s">
        <v>444</v>
      </c>
      <c r="C9" s="2"/>
    </row>
    <row r="10" spans="1:5" ht="18.75" x14ac:dyDescent="0.3">
      <c r="A10" s="2"/>
      <c r="B10" s="2"/>
      <c r="C10" s="2" t="s">
        <v>445</v>
      </c>
    </row>
    <row r="11" spans="1:5" ht="18.75" x14ac:dyDescent="0.3">
      <c r="A11" s="2"/>
      <c r="B11" s="2"/>
      <c r="C11" s="2"/>
    </row>
    <row r="12" spans="1:5" ht="18.75" x14ac:dyDescent="0.3">
      <c r="A12" s="2"/>
      <c r="B12" s="2"/>
      <c r="C12" s="2"/>
    </row>
    <row r="13" spans="1:5" ht="18.75" x14ac:dyDescent="0.3">
      <c r="A13" s="2"/>
      <c r="B13" s="2"/>
      <c r="C13" s="2"/>
    </row>
    <row r="14" spans="1:5" ht="18.75" x14ac:dyDescent="0.3">
      <c r="A14" s="2"/>
      <c r="B14" s="2"/>
      <c r="C14" s="2"/>
    </row>
    <row r="15" spans="1:5" ht="18.75" x14ac:dyDescent="0.3">
      <c r="A15" s="2"/>
      <c r="B15" s="2"/>
      <c r="C15" s="2"/>
    </row>
    <row r="16" spans="1:5" ht="18.75" x14ac:dyDescent="0.3">
      <c r="A16" s="2"/>
      <c r="B16" s="2"/>
      <c r="C16" s="2"/>
    </row>
    <row r="17" spans="1:3" ht="18.75" x14ac:dyDescent="0.3">
      <c r="A17" s="2"/>
      <c r="B17" s="2"/>
      <c r="C17" s="2"/>
    </row>
    <row r="18" spans="1:3" ht="18.75" x14ac:dyDescent="0.3">
      <c r="A18" s="2"/>
      <c r="B18" s="2"/>
      <c r="C18" s="2"/>
    </row>
    <row r="19" spans="1:3" ht="18.75" x14ac:dyDescent="0.3">
      <c r="A19" s="2"/>
      <c r="B19" s="2"/>
      <c r="C19" s="2"/>
    </row>
    <row r="20" spans="1:3" ht="18.75" x14ac:dyDescent="0.3">
      <c r="A20" s="2"/>
      <c r="B20" s="2"/>
      <c r="C20" s="2"/>
    </row>
    <row r="21" spans="1:3" ht="18.75" x14ac:dyDescent="0.3">
      <c r="A21" s="2"/>
      <c r="B21" s="2"/>
      <c r="C21" s="2"/>
    </row>
    <row r="22" spans="1:3" ht="18.75" x14ac:dyDescent="0.3">
      <c r="A22" s="2"/>
      <c r="B22" s="2"/>
      <c r="C2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26321-1A81-470A-B95F-351095B6EFCB}">
  <sheetPr codeName="sh_Print"/>
  <dimension ref="A1:Y20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24.42578125" customWidth="1"/>
    <col min="6" max="6" width="19.42578125" customWidth="1"/>
    <col min="9" max="9" width="12.42578125" customWidth="1"/>
    <col min="10" max="10" width="15" customWidth="1"/>
    <col min="11" max="11" width="3.7109375" customWidth="1"/>
    <col min="12" max="12" width="13.85546875" customWidth="1"/>
    <col min="13" max="13" width="26.42578125" bestFit="1" customWidth="1"/>
    <col min="14" max="14" width="3.7109375" customWidth="1"/>
    <col min="15" max="15" width="13.5703125" bestFit="1" customWidth="1"/>
    <col min="16" max="16" width="29.85546875" bestFit="1" customWidth="1"/>
    <col min="17" max="17" width="3.7109375" customWidth="1"/>
    <col min="18" max="18" width="13.140625" customWidth="1"/>
    <col min="19" max="19" width="18" customWidth="1"/>
    <col min="20" max="22" width="13.28515625" customWidth="1"/>
    <col min="24" max="24" width="21.140625" customWidth="1"/>
    <col min="25" max="25" width="10.140625" bestFit="1" customWidth="1"/>
  </cols>
  <sheetData>
    <row r="1" spans="1:25" ht="26.1" customHeight="1" x14ac:dyDescent="0.3">
      <c r="A1" s="66" t="s">
        <v>382</v>
      </c>
      <c r="B1" s="15"/>
      <c r="X1" s="21" t="s">
        <v>40</v>
      </c>
    </row>
    <row r="2" spans="1:25" ht="20.100000000000001" customHeight="1" x14ac:dyDescent="0.3">
      <c r="A2" s="60" t="s">
        <v>365</v>
      </c>
      <c r="X2" s="20"/>
    </row>
    <row r="3" spans="1:25" ht="20.100000000000001" customHeight="1" x14ac:dyDescent="0.3">
      <c r="A3" s="13" t="s">
        <v>32</v>
      </c>
      <c r="B3" s="14"/>
      <c r="D3" s="8"/>
      <c r="E3" s="9" t="s">
        <v>34</v>
      </c>
      <c r="F3" s="10"/>
      <c r="I3" s="19" t="s">
        <v>349</v>
      </c>
      <c r="J3" s="19" t="s">
        <v>236</v>
      </c>
      <c r="L3" s="19" t="s">
        <v>345</v>
      </c>
      <c r="M3" s="19" t="s">
        <v>236</v>
      </c>
      <c r="O3" s="19" t="s">
        <v>347</v>
      </c>
      <c r="P3" s="19" t="s">
        <v>175</v>
      </c>
      <c r="R3" s="19" t="s">
        <v>367</v>
      </c>
      <c r="S3" s="19" t="s">
        <v>175</v>
      </c>
      <c r="X3" s="20"/>
    </row>
    <row r="4" spans="1:25" ht="20.100000000000001" customHeight="1" x14ac:dyDescent="0.25">
      <c r="D4" s="8"/>
      <c r="I4" s="26">
        <v>1</v>
      </c>
      <c r="J4" s="27" t="s">
        <v>350</v>
      </c>
      <c r="L4" s="26">
        <v>1</v>
      </c>
      <c r="M4" s="27" t="s">
        <v>352</v>
      </c>
      <c r="O4" s="26">
        <v>0</v>
      </c>
      <c r="P4" s="27" t="s">
        <v>362</v>
      </c>
      <c r="R4" s="26">
        <v>1</v>
      </c>
      <c r="S4" s="27" t="s">
        <v>371</v>
      </c>
      <c r="X4" s="20"/>
    </row>
    <row r="5" spans="1:25" ht="20.100000000000001" customHeight="1" x14ac:dyDescent="0.3">
      <c r="D5" s="8"/>
      <c r="E5" s="31" t="s">
        <v>349</v>
      </c>
      <c r="F5" s="47">
        <v>1</v>
      </c>
      <c r="G5" s="2"/>
      <c r="I5" s="39">
        <v>2</v>
      </c>
      <c r="J5" s="29" t="s">
        <v>351</v>
      </c>
      <c r="L5" s="39">
        <v>5</v>
      </c>
      <c r="M5" s="29" t="s">
        <v>353</v>
      </c>
      <c r="O5" s="39">
        <v>-1</v>
      </c>
      <c r="P5" s="29" t="s">
        <v>361</v>
      </c>
      <c r="Q5" s="20"/>
      <c r="R5" s="39">
        <v>2</v>
      </c>
      <c r="S5" s="29" t="s">
        <v>372</v>
      </c>
      <c r="X5" s="30"/>
    </row>
    <row r="6" spans="1:25" ht="20.100000000000001" customHeight="1" x14ac:dyDescent="0.3">
      <c r="D6" s="8"/>
      <c r="E6" s="31" t="s">
        <v>345</v>
      </c>
      <c r="F6" s="47">
        <v>5</v>
      </c>
      <c r="G6" s="2"/>
      <c r="I6" s="39">
        <v>3</v>
      </c>
      <c r="J6" s="29">
        <v>1</v>
      </c>
      <c r="L6" s="39">
        <v>6</v>
      </c>
      <c r="M6" s="29" t="s">
        <v>354</v>
      </c>
      <c r="R6" s="39">
        <v>3</v>
      </c>
      <c r="S6" s="29" t="s">
        <v>373</v>
      </c>
      <c r="X6" s="30"/>
    </row>
    <row r="7" spans="1:25" ht="20.100000000000001" customHeight="1" x14ac:dyDescent="0.3">
      <c r="D7" s="8"/>
      <c r="E7" s="31" t="s">
        <v>346</v>
      </c>
      <c r="F7" s="47">
        <v>1</v>
      </c>
      <c r="G7" s="2"/>
      <c r="J7" t="s">
        <v>353</v>
      </c>
      <c r="L7" s="39">
        <v>10</v>
      </c>
      <c r="M7" s="29" t="s">
        <v>355</v>
      </c>
      <c r="R7" s="39">
        <v>4</v>
      </c>
      <c r="S7" s="29" t="s">
        <v>374</v>
      </c>
      <c r="T7" s="20"/>
      <c r="U7" s="20"/>
      <c r="V7" s="20"/>
      <c r="X7" s="20"/>
    </row>
    <row r="8" spans="1:25" ht="20.100000000000001" customHeight="1" x14ac:dyDescent="0.3">
      <c r="D8" s="8"/>
      <c r="E8" s="31" t="s">
        <v>347</v>
      </c>
      <c r="F8" s="82">
        <v>0</v>
      </c>
      <c r="G8" s="2"/>
      <c r="L8" s="39">
        <v>2</v>
      </c>
      <c r="M8" s="29" t="s">
        <v>356</v>
      </c>
      <c r="R8" s="39">
        <v>5</v>
      </c>
      <c r="S8" s="29" t="s">
        <v>380</v>
      </c>
      <c r="T8" s="20"/>
      <c r="U8" s="20"/>
      <c r="V8" s="20"/>
    </row>
    <row r="9" spans="1:25" ht="20.100000000000001" customHeight="1" x14ac:dyDescent="0.3">
      <c r="D9" s="8"/>
      <c r="E9" s="31" t="s">
        <v>348</v>
      </c>
      <c r="F9" s="47">
        <v>-1</v>
      </c>
      <c r="G9" s="2"/>
      <c r="I9" s="19" t="s">
        <v>370</v>
      </c>
      <c r="J9" s="19"/>
      <c r="L9" s="39">
        <v>3</v>
      </c>
      <c r="M9" s="29" t="s">
        <v>357</v>
      </c>
      <c r="R9" s="39">
        <v>6</v>
      </c>
      <c r="S9" s="29" t="s">
        <v>381</v>
      </c>
      <c r="T9" s="20"/>
      <c r="U9" s="20"/>
      <c r="V9" s="20"/>
    </row>
    <row r="10" spans="1:25" ht="20.100000000000001" customHeight="1" x14ac:dyDescent="0.3">
      <c r="D10" s="8"/>
      <c r="E10" s="31" t="s">
        <v>363</v>
      </c>
      <c r="F10" s="47" t="s">
        <v>364</v>
      </c>
      <c r="G10" s="2"/>
      <c r="I10" s="26" t="s">
        <v>369</v>
      </c>
      <c r="J10" s="27">
        <v>28.346</v>
      </c>
      <c r="L10" s="39">
        <v>8</v>
      </c>
      <c r="M10" s="29" t="s">
        <v>358</v>
      </c>
      <c r="R10" s="39">
        <v>7</v>
      </c>
      <c r="S10" s="29" t="s">
        <v>378</v>
      </c>
      <c r="T10" s="20"/>
      <c r="U10" s="20"/>
      <c r="V10" s="20"/>
    </row>
    <row r="11" spans="1:25" ht="20.100000000000001" customHeight="1" x14ac:dyDescent="0.3">
      <c r="D11" s="8"/>
      <c r="E11" s="31" t="s">
        <v>432</v>
      </c>
      <c r="F11" s="47" t="s">
        <v>435</v>
      </c>
      <c r="G11" s="2"/>
      <c r="I11" s="39" t="s">
        <v>368</v>
      </c>
      <c r="J11" s="29">
        <v>72</v>
      </c>
      <c r="L11" s="39">
        <v>4</v>
      </c>
      <c r="M11" s="29" t="s">
        <v>359</v>
      </c>
      <c r="R11" s="39">
        <v>9</v>
      </c>
      <c r="S11" s="29" t="s">
        <v>379</v>
      </c>
      <c r="T11" s="20"/>
      <c r="U11" s="20"/>
      <c r="V11" s="20"/>
    </row>
    <row r="12" spans="1:25" ht="18.75" x14ac:dyDescent="0.3">
      <c r="D12" s="8"/>
      <c r="E12" s="31" t="s">
        <v>433</v>
      </c>
      <c r="F12" s="47" t="s">
        <v>434</v>
      </c>
      <c r="G12" s="2"/>
      <c r="L12" s="39">
        <v>9</v>
      </c>
      <c r="M12" s="29" t="s">
        <v>360</v>
      </c>
      <c r="R12" s="39">
        <v>10</v>
      </c>
      <c r="S12" s="29" t="s">
        <v>375</v>
      </c>
      <c r="T12" s="20"/>
      <c r="U12" s="20"/>
      <c r="V12" s="20"/>
    </row>
    <row r="13" spans="1:25" ht="19.5" x14ac:dyDescent="0.3">
      <c r="A13" s="60" t="s">
        <v>366</v>
      </c>
      <c r="D13" s="8"/>
      <c r="E13" s="2"/>
      <c r="F13" s="87"/>
      <c r="R13" s="39">
        <v>11</v>
      </c>
      <c r="S13" s="29" t="s">
        <v>376</v>
      </c>
      <c r="T13" s="20"/>
      <c r="U13" s="20"/>
      <c r="V13" s="20"/>
    </row>
    <row r="14" spans="1:25" ht="18.75" x14ac:dyDescent="0.3">
      <c r="A14" s="13" t="s">
        <v>32</v>
      </c>
      <c r="B14" s="14"/>
      <c r="D14" s="8"/>
      <c r="E14" s="9" t="s">
        <v>34</v>
      </c>
      <c r="F14" s="10"/>
      <c r="R14" s="39">
        <v>16</v>
      </c>
      <c r="S14" s="29" t="s">
        <v>377</v>
      </c>
      <c r="T14" s="20"/>
      <c r="U14" s="20"/>
      <c r="V14" s="20"/>
    </row>
    <row r="15" spans="1:25" ht="18.75" x14ac:dyDescent="0.3">
      <c r="D15" s="8"/>
      <c r="E15" s="31" t="s">
        <v>363</v>
      </c>
      <c r="F15" s="47" t="s">
        <v>364</v>
      </c>
    </row>
    <row r="16" spans="1:25" ht="18.75" x14ac:dyDescent="0.3">
      <c r="D16" s="8"/>
      <c r="E16" s="31" t="s">
        <v>245</v>
      </c>
      <c r="F16" s="47">
        <v>960</v>
      </c>
      <c r="Y16" s="46"/>
    </row>
    <row r="17" spans="4:25" ht="18.75" x14ac:dyDescent="0.3">
      <c r="D17" s="8"/>
      <c r="E17" s="31" t="s">
        <v>246</v>
      </c>
      <c r="F17" s="47">
        <v>540</v>
      </c>
      <c r="Y17" s="46"/>
    </row>
    <row r="18" spans="4:25" ht="18.75" x14ac:dyDescent="0.3">
      <c r="D18" s="8"/>
      <c r="E18" s="31" t="s">
        <v>367</v>
      </c>
      <c r="F18" s="47" t="s">
        <v>378</v>
      </c>
    </row>
    <row r="19" spans="4:25" ht="18.75" x14ac:dyDescent="0.3">
      <c r="D19" s="8"/>
      <c r="E19" s="31" t="s">
        <v>383</v>
      </c>
      <c r="F19" s="47">
        <v>2</v>
      </c>
      <c r="G19" t="s">
        <v>384</v>
      </c>
    </row>
    <row r="20" spans="4:25" ht="18.75" x14ac:dyDescent="0.3">
      <c r="D20" s="8"/>
      <c r="E20" s="31"/>
      <c r="F20" s="4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60807-D154-4548-BDAA-CB4B221C4F2F}">
  <sheetPr codeName="sh_Background"/>
  <dimension ref="A1:L25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29.140625" customWidth="1"/>
    <col min="6" max="6" width="14.85546875" customWidth="1"/>
    <col min="7" max="7" width="3.7109375" customWidth="1"/>
    <col min="8" max="8" width="9.7109375" style="1" customWidth="1"/>
    <col min="9" max="9" width="16" style="1" customWidth="1"/>
    <col min="10" max="10" width="3.7109375" customWidth="1"/>
    <col min="11" max="11" width="25.5703125" customWidth="1"/>
  </cols>
  <sheetData>
    <row r="1" spans="1:12" ht="26.1" customHeight="1" x14ac:dyDescent="0.3">
      <c r="A1" s="66" t="s">
        <v>20</v>
      </c>
      <c r="B1" s="15"/>
      <c r="D1" s="8"/>
      <c r="K1" s="21" t="s">
        <v>40</v>
      </c>
    </row>
    <row r="2" spans="1:12" ht="20.100000000000001" customHeight="1" x14ac:dyDescent="0.25">
      <c r="K2" s="20"/>
      <c r="L2" s="20"/>
    </row>
    <row r="3" spans="1:12" ht="20.100000000000001" customHeight="1" x14ac:dyDescent="0.3">
      <c r="A3" s="13" t="s">
        <v>32</v>
      </c>
      <c r="B3" s="14"/>
      <c r="D3" s="8"/>
      <c r="E3" s="9" t="s">
        <v>34</v>
      </c>
      <c r="F3" s="10"/>
      <c r="H3" s="16" t="s">
        <v>28</v>
      </c>
      <c r="I3" s="16" t="s">
        <v>0</v>
      </c>
      <c r="K3" s="20" t="s">
        <v>48</v>
      </c>
      <c r="L3" s="20"/>
    </row>
    <row r="4" spans="1:12" ht="20.100000000000001" customHeight="1" x14ac:dyDescent="0.3">
      <c r="D4" s="8"/>
      <c r="H4" s="44">
        <v>2</v>
      </c>
      <c r="I4" s="44" t="s">
        <v>65</v>
      </c>
      <c r="K4" s="20" t="s">
        <v>59</v>
      </c>
      <c r="L4" s="20"/>
    </row>
    <row r="5" spans="1:12" ht="20.100000000000001" customHeight="1" thickBot="1" x14ac:dyDescent="0.35">
      <c r="A5" s="2" t="s">
        <v>33</v>
      </c>
      <c r="B5" s="7">
        <v>2</v>
      </c>
      <c r="D5" s="8"/>
      <c r="E5" s="31" t="s">
        <v>22</v>
      </c>
      <c r="F5" s="33">
        <v>2</v>
      </c>
      <c r="H5" s="45">
        <v>3</v>
      </c>
      <c r="I5" s="45" t="s">
        <v>66</v>
      </c>
      <c r="K5" s="30" t="s">
        <v>60</v>
      </c>
      <c r="L5" s="20" t="s">
        <v>61</v>
      </c>
    </row>
    <row r="6" spans="1:12" ht="20.100000000000001" customHeight="1" thickTop="1" x14ac:dyDescent="0.3">
      <c r="D6" s="8"/>
      <c r="E6" s="31" t="s">
        <v>21</v>
      </c>
      <c r="F6" s="34">
        <v>0</v>
      </c>
      <c r="H6" s="45">
        <v>6</v>
      </c>
      <c r="I6" s="45" t="s">
        <v>24</v>
      </c>
      <c r="K6" s="30" t="s">
        <v>62</v>
      </c>
      <c r="L6" s="20" t="s">
        <v>63</v>
      </c>
    </row>
    <row r="7" spans="1:12" ht="20.100000000000001" customHeight="1" x14ac:dyDescent="0.3">
      <c r="D7" s="8"/>
      <c r="E7" s="31" t="s">
        <v>23</v>
      </c>
      <c r="F7" s="54"/>
      <c r="H7" s="4"/>
      <c r="I7" s="4"/>
      <c r="K7" s="30" t="s">
        <v>23</v>
      </c>
      <c r="L7" s="20" t="s">
        <v>64</v>
      </c>
    </row>
    <row r="8" spans="1:12" ht="20.100000000000001" customHeight="1" x14ac:dyDescent="0.3">
      <c r="D8" s="8"/>
      <c r="H8" s="4"/>
      <c r="I8" s="4"/>
    </row>
    <row r="9" spans="1:12" ht="18.75" x14ac:dyDescent="0.3">
      <c r="D9" s="8"/>
      <c r="H9" s="4"/>
      <c r="I9" s="4"/>
    </row>
    <row r="10" spans="1:12" ht="18.75" x14ac:dyDescent="0.3">
      <c r="D10" s="8"/>
      <c r="H10" s="4"/>
      <c r="I10" s="4"/>
    </row>
    <row r="11" spans="1:12" ht="18.75" x14ac:dyDescent="0.3">
      <c r="D11" s="8"/>
      <c r="H11" s="4"/>
      <c r="I11" s="4"/>
    </row>
    <row r="12" spans="1:12" x14ac:dyDescent="0.25">
      <c r="D12" s="8"/>
    </row>
    <row r="13" spans="1:12" x14ac:dyDescent="0.25">
      <c r="D13" s="8"/>
    </row>
    <row r="14" spans="1:12" x14ac:dyDescent="0.25">
      <c r="D14" s="8"/>
    </row>
    <row r="15" spans="1:12" x14ac:dyDescent="0.25">
      <c r="D15" s="8"/>
    </row>
    <row r="16" spans="1:12" x14ac:dyDescent="0.25">
      <c r="D16" s="8"/>
    </row>
    <row r="17" spans="4:4" x14ac:dyDescent="0.25">
      <c r="D17" s="8"/>
    </row>
    <row r="18" spans="4:4" x14ac:dyDescent="0.25">
      <c r="D18" s="8"/>
    </row>
    <row r="19" spans="4:4" x14ac:dyDescent="0.25">
      <c r="D19" s="8"/>
    </row>
    <row r="20" spans="4:4" x14ac:dyDescent="0.25">
      <c r="D20" s="8"/>
    </row>
    <row r="21" spans="4:4" x14ac:dyDescent="0.25">
      <c r="D21" s="8"/>
    </row>
    <row r="22" spans="4:4" x14ac:dyDescent="0.25">
      <c r="D22" s="8"/>
    </row>
    <row r="23" spans="4:4" x14ac:dyDescent="0.25">
      <c r="D23" s="8"/>
    </row>
    <row r="24" spans="4:4" x14ac:dyDescent="0.25">
      <c r="D24" s="8"/>
    </row>
    <row r="25" spans="4:4" x14ac:dyDescent="0.25">
      <c r="D25" s="8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AB315-0EF0-4320-AE60-846C9520509C}">
  <sheetPr codeName="sh_SmartArt"/>
  <dimension ref="A1:N30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8.7109375" customWidth="1"/>
    <col min="6" max="6" width="29.85546875" customWidth="1"/>
    <col min="7" max="7" width="5.7109375" customWidth="1"/>
    <col min="8" max="8" width="12.42578125" customWidth="1"/>
    <col min="9" max="9" width="18" customWidth="1"/>
    <col min="11" max="11" width="13.5703125" customWidth="1"/>
  </cols>
  <sheetData>
    <row r="1" spans="1:14" ht="26.1" customHeight="1" x14ac:dyDescent="0.3">
      <c r="A1" s="66" t="s">
        <v>1</v>
      </c>
      <c r="B1" s="15"/>
      <c r="D1" s="8"/>
      <c r="K1" s="21" t="s">
        <v>40</v>
      </c>
    </row>
    <row r="2" spans="1:14" ht="20.100000000000001" customHeight="1" x14ac:dyDescent="0.3">
      <c r="A2" s="2"/>
      <c r="B2" s="2"/>
      <c r="K2" s="20"/>
      <c r="L2" s="20"/>
      <c r="M2" s="20"/>
      <c r="N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K3" s="20" t="s">
        <v>48</v>
      </c>
      <c r="L3" s="20"/>
      <c r="M3" s="20"/>
      <c r="N3" s="20"/>
    </row>
    <row r="4" spans="1:14" ht="20.100000000000001" customHeight="1" x14ac:dyDescent="0.25">
      <c r="D4" s="8"/>
      <c r="K4" s="20" t="s">
        <v>55</v>
      </c>
      <c r="L4" s="20"/>
      <c r="M4" s="20"/>
      <c r="N4" s="20"/>
    </row>
    <row r="5" spans="1:14" ht="20.100000000000001" customHeight="1" thickBot="1" x14ac:dyDescent="0.35">
      <c r="A5" s="2" t="s">
        <v>33</v>
      </c>
      <c r="B5" s="7">
        <v>12</v>
      </c>
      <c r="D5" s="8"/>
      <c r="E5" s="12" t="s">
        <v>30</v>
      </c>
      <c r="F5" s="11" t="s">
        <v>391</v>
      </c>
      <c r="K5" s="30" t="s">
        <v>56</v>
      </c>
      <c r="L5" s="20"/>
      <c r="M5" s="20"/>
      <c r="N5" s="20"/>
    </row>
    <row r="6" spans="1:14" ht="20.100000000000001" customHeight="1" thickTop="1" x14ac:dyDescent="0.3">
      <c r="A6" s="2"/>
      <c r="B6" s="2"/>
      <c r="D6" s="8"/>
      <c r="E6" s="169" t="s">
        <v>31</v>
      </c>
      <c r="F6" s="168" t="s">
        <v>392</v>
      </c>
      <c r="K6" s="30" t="s">
        <v>57</v>
      </c>
      <c r="L6" s="20"/>
      <c r="M6" s="20"/>
      <c r="N6" s="20"/>
    </row>
    <row r="7" spans="1:14" ht="20.100000000000001" customHeight="1" x14ac:dyDescent="0.25">
      <c r="B7" s="5"/>
      <c r="D7" s="8"/>
      <c r="E7" s="169"/>
      <c r="F7" s="168"/>
      <c r="K7" s="20" t="s">
        <v>58</v>
      </c>
      <c r="L7" s="20"/>
      <c r="M7" s="20"/>
      <c r="N7" s="20"/>
    </row>
    <row r="8" spans="1:14" ht="20.100000000000001" customHeight="1" x14ac:dyDescent="0.25">
      <c r="B8" s="5"/>
      <c r="D8" s="8"/>
      <c r="E8" s="169"/>
      <c r="F8" s="168"/>
      <c r="K8" s="20"/>
      <c r="L8" s="20"/>
      <c r="M8" s="20"/>
      <c r="N8" s="20"/>
    </row>
    <row r="9" spans="1:14" ht="20.100000000000001" customHeight="1" x14ac:dyDescent="0.25">
      <c r="A9" s="6"/>
      <c r="B9" s="6"/>
      <c r="D9" s="8"/>
      <c r="E9" s="169"/>
      <c r="F9" s="168"/>
      <c r="K9" s="20"/>
      <c r="L9" s="20"/>
      <c r="M9" s="20"/>
      <c r="N9" s="20"/>
    </row>
    <row r="10" spans="1:14" ht="20.100000000000001" customHeight="1" x14ac:dyDescent="0.25">
      <c r="A10" s="6"/>
      <c r="B10" s="6"/>
      <c r="D10" s="8"/>
      <c r="E10" s="169"/>
      <c r="F10" s="168"/>
      <c r="K10" s="20"/>
      <c r="L10" s="20"/>
      <c r="M10" s="20"/>
      <c r="N10" s="20"/>
    </row>
    <row r="11" spans="1:14" ht="20.100000000000001" customHeight="1" x14ac:dyDescent="0.25">
      <c r="A11" s="6"/>
      <c r="B11" s="6"/>
      <c r="D11" s="8"/>
      <c r="E11" s="169"/>
      <c r="F11" s="168"/>
      <c r="K11" s="20"/>
      <c r="L11" s="20"/>
      <c r="M11" s="20"/>
      <c r="N11" s="20"/>
    </row>
    <row r="12" spans="1:14" ht="20.100000000000001" customHeight="1" x14ac:dyDescent="0.25">
      <c r="A12" s="6"/>
      <c r="B12" s="6"/>
      <c r="D12" s="8"/>
      <c r="E12" s="169"/>
      <c r="F12" s="168"/>
      <c r="K12" s="20"/>
      <c r="L12" s="20"/>
      <c r="M12" s="20"/>
      <c r="N12" s="20"/>
    </row>
    <row r="13" spans="1:14" ht="20.100000000000001" customHeight="1" x14ac:dyDescent="0.25">
      <c r="A13" s="6"/>
      <c r="B13" s="6"/>
      <c r="D13" s="8"/>
      <c r="E13" s="169"/>
      <c r="F13" s="168"/>
      <c r="K13" s="20"/>
      <c r="L13" s="20"/>
      <c r="M13" s="20"/>
      <c r="N13" s="20"/>
    </row>
    <row r="14" spans="1:14" ht="20.100000000000001" customHeight="1" x14ac:dyDescent="0.25">
      <c r="A14" s="6"/>
      <c r="B14" s="6"/>
      <c r="D14" s="8"/>
      <c r="E14" s="169"/>
      <c r="F14" s="168"/>
      <c r="K14" s="20"/>
      <c r="L14" s="20"/>
      <c r="M14" s="20"/>
      <c r="N14" s="20"/>
    </row>
    <row r="15" spans="1:14" ht="20.100000000000001" customHeight="1" x14ac:dyDescent="0.25">
      <c r="A15" s="6"/>
      <c r="B15" s="6"/>
      <c r="D15" s="8"/>
      <c r="E15" s="169"/>
      <c r="F15" s="168"/>
      <c r="K15" s="20"/>
      <c r="L15" s="20"/>
      <c r="M15" s="20"/>
      <c r="N15" s="20"/>
    </row>
    <row r="16" spans="1:14" ht="20.100000000000001" customHeight="1" x14ac:dyDescent="0.25">
      <c r="A16" s="6"/>
      <c r="B16" s="6"/>
      <c r="D16" s="8"/>
      <c r="E16" s="169"/>
      <c r="F16" s="168"/>
      <c r="K16" s="20"/>
      <c r="L16" s="20"/>
      <c r="M16" s="20"/>
      <c r="N16" s="20"/>
    </row>
    <row r="17" spans="1:14" ht="18.75" x14ac:dyDescent="0.3">
      <c r="A17" s="6"/>
      <c r="B17" s="6"/>
      <c r="E17" s="2"/>
      <c r="F17" s="2"/>
      <c r="K17" s="20"/>
      <c r="L17" s="20"/>
      <c r="M17" s="20"/>
      <c r="N17" s="20"/>
    </row>
    <row r="18" spans="1:14" ht="18.75" x14ac:dyDescent="0.3">
      <c r="A18" s="13" t="s">
        <v>32</v>
      </c>
      <c r="B18" s="14"/>
      <c r="D18" s="8"/>
      <c r="E18" s="9" t="s">
        <v>34</v>
      </c>
      <c r="F18" s="10"/>
      <c r="H18" s="91" t="s">
        <v>389</v>
      </c>
      <c r="I18" s="92">
        <f>IF(AND(F20=I20,F21=I21,F22=I22,F23=I23),1,0)</f>
        <v>1</v>
      </c>
      <c r="K18" s="20"/>
      <c r="L18" s="20"/>
      <c r="M18" s="20"/>
      <c r="N18" s="20"/>
    </row>
    <row r="19" spans="1:14" ht="18.75" x14ac:dyDescent="0.3">
      <c r="D19" s="8"/>
      <c r="E19" s="2"/>
      <c r="F19" s="2"/>
      <c r="K19" s="20"/>
      <c r="L19" s="20"/>
      <c r="M19" s="20"/>
      <c r="N19" s="20"/>
    </row>
    <row r="20" spans="1:14" ht="18.75" x14ac:dyDescent="0.3">
      <c r="D20" s="8"/>
      <c r="E20" s="61" t="s">
        <v>141</v>
      </c>
      <c r="F20" s="62">
        <v>129.94062805175781</v>
      </c>
      <c r="H20" s="31" t="s">
        <v>141</v>
      </c>
      <c r="I20" s="32">
        <v>129.94062805175781</v>
      </c>
    </row>
    <row r="21" spans="1:14" ht="18.75" x14ac:dyDescent="0.3">
      <c r="D21" s="8"/>
      <c r="E21" s="31" t="s">
        <v>390</v>
      </c>
      <c r="F21" s="32">
        <v>275.0594482421875</v>
      </c>
      <c r="H21" s="31" t="s">
        <v>390</v>
      </c>
      <c r="I21" s="32">
        <v>275.0594482421875</v>
      </c>
    </row>
    <row r="22" spans="1:14" ht="18.75" x14ac:dyDescent="0.3">
      <c r="D22" s="8"/>
      <c r="E22" s="61" t="s">
        <v>113</v>
      </c>
      <c r="F22" s="62">
        <v>47.983306884765625</v>
      </c>
      <c r="H22" s="31" t="s">
        <v>113</v>
      </c>
      <c r="I22" s="32">
        <v>47.983306884765625</v>
      </c>
    </row>
    <row r="23" spans="1:14" ht="18.75" x14ac:dyDescent="0.3">
      <c r="D23" s="8"/>
      <c r="E23" s="31" t="s">
        <v>114</v>
      </c>
      <c r="F23" s="32">
        <v>672.0167236328125</v>
      </c>
      <c r="H23" s="31" t="s">
        <v>114</v>
      </c>
      <c r="I23" s="32">
        <v>672.0167236328125</v>
      </c>
    </row>
    <row r="24" spans="1:14" x14ac:dyDescent="0.25">
      <c r="D24" s="8"/>
    </row>
    <row r="25" spans="1:14" x14ac:dyDescent="0.25">
      <c r="D25" s="8"/>
    </row>
    <row r="26" spans="1:14" x14ac:dyDescent="0.25">
      <c r="D26" s="8"/>
    </row>
    <row r="27" spans="1:14" x14ac:dyDescent="0.25">
      <c r="D27" s="8"/>
    </row>
    <row r="28" spans="1:14" x14ac:dyDescent="0.25">
      <c r="D28" s="8"/>
    </row>
    <row r="29" spans="1:14" x14ac:dyDescent="0.25">
      <c r="D29" s="8"/>
    </row>
    <row r="30" spans="1:14" x14ac:dyDescent="0.25">
      <c r="D30" s="8"/>
    </row>
  </sheetData>
  <mergeCells count="2">
    <mergeCell ref="F6:F16"/>
    <mergeCell ref="E6:E1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FCF93-41AB-4731-A65D-33B280057F5C}">
  <sheetPr codeName="sh_Picture"/>
  <dimension ref="A1:W60"/>
  <sheetViews>
    <sheetView showGridLines="0" workbookViewId="0">
      <pane ySplit="1" topLeftCell="A11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5.7109375" customWidth="1"/>
    <col min="3" max="4" width="1.7109375" customWidth="1"/>
    <col min="5" max="5" width="25.140625" bestFit="1" customWidth="1"/>
    <col min="6" max="6" width="27.28515625" customWidth="1"/>
    <col min="7" max="7" width="4" customWidth="1"/>
    <col min="8" max="8" width="13.85546875" customWidth="1"/>
    <col min="9" max="9" width="26.28515625" bestFit="1" customWidth="1"/>
    <col min="12" max="12" width="10.7109375" customWidth="1"/>
    <col min="13" max="13" width="13" customWidth="1"/>
    <col min="14" max="14" width="16.28515625" customWidth="1"/>
    <col min="16" max="16" width="12.7109375" customWidth="1"/>
    <col min="17" max="17" width="20.140625" customWidth="1"/>
    <col min="19" max="19" width="12.7109375" customWidth="1"/>
    <col min="20" max="20" width="17.42578125" customWidth="1"/>
    <col min="22" max="22" width="12.7109375" customWidth="1"/>
    <col min="23" max="23" width="17.42578125" customWidth="1"/>
  </cols>
  <sheetData>
    <row r="1" spans="1:17" ht="26.1" customHeight="1" x14ac:dyDescent="0.3">
      <c r="A1" s="66" t="s">
        <v>29</v>
      </c>
      <c r="B1" s="15"/>
    </row>
    <row r="2" spans="1:17" ht="20.100000000000001" customHeight="1" x14ac:dyDescent="0.3">
      <c r="A2" s="60" t="s">
        <v>124</v>
      </c>
      <c r="P2" s="20"/>
    </row>
    <row r="3" spans="1:17" ht="20.100000000000001" customHeight="1" x14ac:dyDescent="0.3">
      <c r="A3" s="13" t="s">
        <v>32</v>
      </c>
      <c r="B3" s="14"/>
      <c r="D3" s="8"/>
      <c r="E3" s="9" t="s">
        <v>34</v>
      </c>
      <c r="F3" s="10"/>
      <c r="H3" s="91" t="s">
        <v>389</v>
      </c>
      <c r="I3" s="92">
        <f>IF(AND(F5=I5,F6=I6),1,0)</f>
        <v>1</v>
      </c>
      <c r="P3" s="20" t="s">
        <v>48</v>
      </c>
    </row>
    <row r="4" spans="1:17" ht="20.100000000000001" customHeight="1" x14ac:dyDescent="0.25">
      <c r="D4" s="8"/>
      <c r="P4" s="20" t="s">
        <v>69</v>
      </c>
    </row>
    <row r="5" spans="1:17" ht="20.100000000000001" customHeight="1" thickBot="1" x14ac:dyDescent="0.35">
      <c r="A5" s="2" t="s">
        <v>33</v>
      </c>
      <c r="B5" s="76">
        <v>3</v>
      </c>
      <c r="D5" s="8"/>
      <c r="E5" s="31" t="s">
        <v>67</v>
      </c>
      <c r="F5" s="32" t="s">
        <v>387</v>
      </c>
      <c r="H5" s="31" t="s">
        <v>67</v>
      </c>
      <c r="I5" s="32" t="s">
        <v>387</v>
      </c>
      <c r="P5" s="30" t="s">
        <v>67</v>
      </c>
      <c r="Q5" t="s">
        <v>70</v>
      </c>
    </row>
    <row r="6" spans="1:17" ht="20.100000000000001" customHeight="1" thickTop="1" x14ac:dyDescent="0.3">
      <c r="D6" s="8"/>
      <c r="E6" s="31" t="s">
        <v>68</v>
      </c>
      <c r="F6" s="32" t="s">
        <v>388</v>
      </c>
      <c r="H6" s="31" t="s">
        <v>68</v>
      </c>
      <c r="I6" s="32" t="s">
        <v>388</v>
      </c>
      <c r="P6" s="30" t="s">
        <v>71</v>
      </c>
      <c r="Q6" t="s">
        <v>72</v>
      </c>
    </row>
    <row r="7" spans="1:17" ht="20.100000000000001" customHeight="1" thickBot="1" x14ac:dyDescent="0.35">
      <c r="A7" s="2" t="s">
        <v>386</v>
      </c>
      <c r="B7" s="76">
        <v>2</v>
      </c>
      <c r="D7" s="8"/>
      <c r="P7" s="20" t="s">
        <v>73</v>
      </c>
    </row>
    <row r="8" spans="1:17" ht="20.100000000000001" customHeight="1" thickTop="1" x14ac:dyDescent="0.25">
      <c r="D8" s="8"/>
    </row>
    <row r="9" spans="1:17" ht="20.100000000000001" customHeight="1" x14ac:dyDescent="0.25">
      <c r="D9" s="8"/>
    </row>
    <row r="10" spans="1:17" ht="20.100000000000001" customHeight="1" x14ac:dyDescent="0.25"/>
    <row r="11" spans="1:17" ht="20.100000000000001" customHeight="1" x14ac:dyDescent="0.3">
      <c r="A11" s="60" t="s">
        <v>110</v>
      </c>
    </row>
    <row r="12" spans="1:17" ht="20.100000000000001" customHeight="1" x14ac:dyDescent="0.3">
      <c r="A12" s="13" t="s">
        <v>32</v>
      </c>
      <c r="B12" s="14"/>
      <c r="D12" s="8"/>
      <c r="E12" s="9" t="s">
        <v>34</v>
      </c>
      <c r="F12" s="10"/>
      <c r="P12" t="s">
        <v>131</v>
      </c>
    </row>
    <row r="13" spans="1:17" ht="20.100000000000001" customHeight="1" x14ac:dyDescent="0.25">
      <c r="D13" s="8"/>
      <c r="P13" t="s">
        <v>132</v>
      </c>
    </row>
    <row r="14" spans="1:17" ht="20.100000000000001" customHeight="1" thickBot="1" x14ac:dyDescent="0.35">
      <c r="A14" s="2" t="s">
        <v>33</v>
      </c>
      <c r="B14" s="76">
        <v>7</v>
      </c>
      <c r="D14" s="8"/>
      <c r="E14" s="31" t="s">
        <v>129</v>
      </c>
      <c r="F14" s="32" t="s">
        <v>130</v>
      </c>
      <c r="P14" s="63" t="s">
        <v>141</v>
      </c>
    </row>
    <row r="15" spans="1:17" ht="20.100000000000001" customHeight="1" thickTop="1" x14ac:dyDescent="0.3">
      <c r="B15" s="1"/>
      <c r="D15" s="8"/>
      <c r="E15" s="61" t="s">
        <v>133</v>
      </c>
      <c r="F15" s="62">
        <v>106.00070953369141</v>
      </c>
      <c r="P15" s="63" t="s">
        <v>113</v>
      </c>
    </row>
    <row r="16" spans="1:17" ht="20.100000000000001" customHeight="1" thickBot="1" x14ac:dyDescent="0.35">
      <c r="A16" s="2" t="s">
        <v>125</v>
      </c>
      <c r="B16" s="76" t="s">
        <v>128</v>
      </c>
      <c r="D16" s="8"/>
      <c r="E16" s="61" t="s">
        <v>134</v>
      </c>
      <c r="F16" s="62">
        <v>106.00070953369141</v>
      </c>
      <c r="P16" s="63" t="s">
        <v>142</v>
      </c>
    </row>
    <row r="17" spans="1:23" ht="20.100000000000001" customHeight="1" thickTop="1" x14ac:dyDescent="0.3">
      <c r="B17" s="1"/>
      <c r="D17" s="8"/>
      <c r="E17" s="31" t="s">
        <v>135</v>
      </c>
      <c r="F17" s="32">
        <v>335.50070190429688</v>
      </c>
      <c r="P17" s="63" t="s">
        <v>143</v>
      </c>
    </row>
    <row r="18" spans="1:23" ht="20.100000000000001" customHeight="1" thickBot="1" x14ac:dyDescent="0.35">
      <c r="A18" s="2" t="s">
        <v>126</v>
      </c>
      <c r="B18" s="76" t="s">
        <v>127</v>
      </c>
      <c r="D18" s="8"/>
      <c r="E18" s="31" t="s">
        <v>136</v>
      </c>
      <c r="F18" s="32">
        <v>335.96432495117188</v>
      </c>
    </row>
    <row r="19" spans="1:23" ht="20.100000000000001" customHeight="1" thickTop="1" x14ac:dyDescent="0.3">
      <c r="D19" s="8"/>
      <c r="E19" s="61" t="s">
        <v>137</v>
      </c>
      <c r="F19" s="62">
        <v>129.94062805175781</v>
      </c>
    </row>
    <row r="20" spans="1:23" ht="20.100000000000001" customHeight="1" x14ac:dyDescent="0.3">
      <c r="D20" s="8"/>
      <c r="E20" s="61" t="s">
        <v>138</v>
      </c>
      <c r="F20" s="62">
        <v>275.0594482421875</v>
      </c>
    </row>
    <row r="21" spans="1:23" ht="18.75" x14ac:dyDescent="0.3">
      <c r="D21" s="8"/>
      <c r="E21" s="31" t="s">
        <v>139</v>
      </c>
      <c r="F21" s="32">
        <v>0</v>
      </c>
    </row>
    <row r="22" spans="1:23" ht="18.75" x14ac:dyDescent="0.3">
      <c r="D22" s="8"/>
      <c r="E22" s="31" t="s">
        <v>140</v>
      </c>
      <c r="F22" s="32">
        <v>624.03338623046875</v>
      </c>
    </row>
    <row r="23" spans="1:23" x14ac:dyDescent="0.25">
      <c r="D23" s="8"/>
    </row>
    <row r="24" spans="1:23" x14ac:dyDescent="0.25">
      <c r="D24" s="8"/>
    </row>
    <row r="26" spans="1:23" ht="20.100000000000001" customHeight="1" x14ac:dyDescent="0.3">
      <c r="A26" s="60" t="s">
        <v>254</v>
      </c>
      <c r="L26" s="171" t="s">
        <v>280</v>
      </c>
      <c r="M26" s="171"/>
      <c r="N26" s="171"/>
      <c r="P26" s="170" t="s">
        <v>259</v>
      </c>
      <c r="Q26" s="170"/>
      <c r="S26" s="171" t="s">
        <v>260</v>
      </c>
      <c r="T26" s="171"/>
      <c r="V26" s="171" t="s">
        <v>261</v>
      </c>
      <c r="W26" s="171"/>
    </row>
    <row r="27" spans="1:23" ht="20.100000000000001" customHeight="1" x14ac:dyDescent="0.3">
      <c r="A27" s="13" t="s">
        <v>32</v>
      </c>
      <c r="B27" s="14"/>
      <c r="D27" s="8"/>
      <c r="E27" s="9" t="s">
        <v>34</v>
      </c>
      <c r="F27" s="10"/>
      <c r="L27" s="25" t="s">
        <v>28</v>
      </c>
      <c r="M27" s="19" t="s">
        <v>281</v>
      </c>
      <c r="N27" s="19" t="s">
        <v>175</v>
      </c>
      <c r="P27" s="25" t="s">
        <v>13</v>
      </c>
      <c r="Q27" s="19" t="s">
        <v>12</v>
      </c>
      <c r="S27" s="25" t="s">
        <v>13</v>
      </c>
      <c r="T27" s="19" t="s">
        <v>12</v>
      </c>
      <c r="V27" s="25" t="s">
        <v>13</v>
      </c>
      <c r="W27" s="19" t="s">
        <v>12</v>
      </c>
    </row>
    <row r="28" spans="1:23" ht="20.100000000000001" customHeight="1" x14ac:dyDescent="0.25">
      <c r="D28" s="8"/>
      <c r="L28" s="26">
        <v>1</v>
      </c>
      <c r="M28" s="27" t="s">
        <v>282</v>
      </c>
      <c r="N28" s="77" t="s">
        <v>287</v>
      </c>
      <c r="P28" s="26">
        <v>21</v>
      </c>
      <c r="Q28" s="27" t="s">
        <v>262</v>
      </c>
      <c r="S28" s="26">
        <v>1</v>
      </c>
      <c r="T28" s="27"/>
      <c r="V28" s="26">
        <v>1</v>
      </c>
      <c r="W28" s="27" t="s">
        <v>298</v>
      </c>
    </row>
    <row r="29" spans="1:23" ht="20.100000000000001" customHeight="1" thickBot="1" x14ac:dyDescent="0.35">
      <c r="A29" s="2" t="s">
        <v>33</v>
      </c>
      <c r="B29" s="76">
        <v>6</v>
      </c>
      <c r="D29" s="8"/>
      <c r="E29" s="31" t="s">
        <v>255</v>
      </c>
      <c r="F29" s="32" t="s">
        <v>282</v>
      </c>
      <c r="L29" s="28">
        <v>2</v>
      </c>
      <c r="M29" s="29" t="s">
        <v>283</v>
      </c>
      <c r="N29" s="78" t="s">
        <v>288</v>
      </c>
      <c r="P29" s="28">
        <v>22</v>
      </c>
      <c r="Q29" s="29" t="s">
        <v>263</v>
      </c>
      <c r="S29" s="28">
        <v>2</v>
      </c>
      <c r="T29" s="29"/>
      <c r="V29" s="28">
        <v>2</v>
      </c>
      <c r="W29" s="29" t="s">
        <v>299</v>
      </c>
    </row>
    <row r="30" spans="1:23" ht="20.100000000000001" customHeight="1" thickTop="1" x14ac:dyDescent="0.3">
      <c r="D30" s="8"/>
      <c r="E30" s="31" t="s">
        <v>256</v>
      </c>
      <c r="F30" s="32" t="s">
        <v>308</v>
      </c>
      <c r="L30" s="28">
        <v>3</v>
      </c>
      <c r="M30" s="29" t="s">
        <v>284</v>
      </c>
      <c r="N30" s="78" t="s">
        <v>289</v>
      </c>
      <c r="P30" s="28">
        <v>23</v>
      </c>
      <c r="Q30" s="29" t="s">
        <v>264</v>
      </c>
      <c r="S30" s="28">
        <v>3</v>
      </c>
      <c r="T30" s="29"/>
      <c r="V30" s="28">
        <v>3</v>
      </c>
      <c r="W30" s="29" t="s">
        <v>300</v>
      </c>
    </row>
    <row r="31" spans="1:23" ht="20.100000000000001" customHeight="1" thickBot="1" x14ac:dyDescent="0.35">
      <c r="A31" s="2" t="s">
        <v>67</v>
      </c>
      <c r="B31" s="76">
        <v>4</v>
      </c>
      <c r="D31" s="8"/>
      <c r="E31" s="31" t="s">
        <v>309</v>
      </c>
      <c r="F31" s="32" t="b">
        <v>1</v>
      </c>
      <c r="L31" s="28">
        <v>4</v>
      </c>
      <c r="M31" s="29" t="s">
        <v>285</v>
      </c>
      <c r="N31" s="78" t="s">
        <v>290</v>
      </c>
      <c r="P31" s="28">
        <v>24</v>
      </c>
      <c r="Q31" s="29" t="s">
        <v>265</v>
      </c>
      <c r="S31" s="28">
        <v>4</v>
      </c>
      <c r="T31" s="29"/>
      <c r="V31" s="28">
        <v>4</v>
      </c>
      <c r="W31" s="29" t="s">
        <v>301</v>
      </c>
    </row>
    <row r="32" spans="1:23" ht="20.100000000000001" customHeight="1" thickTop="1" x14ac:dyDescent="0.3">
      <c r="D32" s="8"/>
      <c r="E32" s="31" t="s">
        <v>257</v>
      </c>
      <c r="F32" s="32">
        <v>1.5</v>
      </c>
      <c r="L32" s="28">
        <v>5</v>
      </c>
      <c r="M32" s="29" t="s">
        <v>24</v>
      </c>
      <c r="N32" s="78" t="s">
        <v>291</v>
      </c>
      <c r="P32" s="28">
        <v>25</v>
      </c>
      <c r="Q32" s="29" t="s">
        <v>267</v>
      </c>
      <c r="S32" s="28">
        <v>5</v>
      </c>
      <c r="T32" s="29"/>
      <c r="V32" s="28">
        <v>5</v>
      </c>
      <c r="W32" s="29" t="s">
        <v>305</v>
      </c>
    </row>
    <row r="33" spans="4:23" ht="20.100000000000001" customHeight="1" x14ac:dyDescent="0.3">
      <c r="D33" s="8"/>
      <c r="E33" s="31" t="s">
        <v>258</v>
      </c>
      <c r="F33" s="32" t="s">
        <v>296</v>
      </c>
      <c r="L33" s="28">
        <v>6</v>
      </c>
      <c r="M33" s="29" t="s">
        <v>286</v>
      </c>
      <c r="N33" s="78" t="s">
        <v>292</v>
      </c>
      <c r="P33" s="28">
        <v>26</v>
      </c>
      <c r="Q33" s="29" t="s">
        <v>266</v>
      </c>
      <c r="S33" s="28">
        <v>6</v>
      </c>
      <c r="T33" s="29"/>
      <c r="V33" s="28">
        <v>6</v>
      </c>
      <c r="W33" s="29" t="s">
        <v>306</v>
      </c>
    </row>
    <row r="34" spans="4:23" ht="20.100000000000001" customHeight="1" x14ac:dyDescent="0.3">
      <c r="D34" s="8"/>
      <c r="E34" s="31" t="s">
        <v>259</v>
      </c>
      <c r="F34" s="32" t="s">
        <v>14</v>
      </c>
      <c r="P34" s="28">
        <v>27</v>
      </c>
      <c r="Q34" s="29" t="s">
        <v>268</v>
      </c>
      <c r="V34" s="28">
        <v>7</v>
      </c>
      <c r="W34" s="29" t="s">
        <v>302</v>
      </c>
    </row>
    <row r="35" spans="4:23" ht="20.100000000000001" customHeight="1" x14ac:dyDescent="0.3">
      <c r="D35" s="8"/>
      <c r="E35" s="31" t="s">
        <v>294</v>
      </c>
      <c r="F35" s="32" t="s">
        <v>307</v>
      </c>
      <c r="P35" s="28">
        <v>28</v>
      </c>
      <c r="Q35" s="29" t="s">
        <v>269</v>
      </c>
      <c r="V35" s="28">
        <v>8</v>
      </c>
      <c r="W35" s="29" t="s">
        <v>303</v>
      </c>
    </row>
    <row r="36" spans="4:23" ht="20.100000000000001" customHeight="1" x14ac:dyDescent="0.3">
      <c r="D36" s="8"/>
      <c r="E36" s="31" t="s">
        <v>293</v>
      </c>
      <c r="F36" s="32" t="s">
        <v>307</v>
      </c>
      <c r="P36" s="28">
        <v>29</v>
      </c>
      <c r="Q36" s="29" t="s">
        <v>270</v>
      </c>
      <c r="V36" s="28">
        <v>9</v>
      </c>
      <c r="W36" s="29" t="s">
        <v>304</v>
      </c>
    </row>
    <row r="37" spans="4:23" ht="20.100000000000001" customHeight="1" x14ac:dyDescent="0.3">
      <c r="D37" s="8"/>
      <c r="E37" s="31" t="s">
        <v>295</v>
      </c>
      <c r="F37" s="79" t="s">
        <v>14</v>
      </c>
      <c r="P37" s="28">
        <v>30</v>
      </c>
      <c r="Q37" s="29" t="s">
        <v>271</v>
      </c>
    </row>
    <row r="38" spans="4:23" ht="20.100000000000001" customHeight="1" x14ac:dyDescent="0.3">
      <c r="D38" s="8"/>
      <c r="E38" s="31" t="s">
        <v>261</v>
      </c>
      <c r="F38" s="32" t="s">
        <v>14</v>
      </c>
      <c r="P38" s="28">
        <v>31</v>
      </c>
      <c r="Q38" s="29" t="s">
        <v>272</v>
      </c>
    </row>
    <row r="39" spans="4:23" ht="20.100000000000001" customHeight="1" x14ac:dyDescent="0.25">
      <c r="D39" s="8"/>
      <c r="P39" s="28">
        <v>32</v>
      </c>
      <c r="Q39" s="29" t="s">
        <v>273</v>
      </c>
    </row>
    <row r="40" spans="4:23" ht="20.100000000000001" customHeight="1" x14ac:dyDescent="0.25">
      <c r="D40" s="8"/>
      <c r="P40" s="28">
        <v>33</v>
      </c>
      <c r="Q40" s="29" t="s">
        <v>274</v>
      </c>
    </row>
    <row r="41" spans="4:23" ht="20.100000000000001" customHeight="1" x14ac:dyDescent="0.25">
      <c r="P41" s="28">
        <v>34</v>
      </c>
      <c r="Q41" s="29" t="s">
        <v>275</v>
      </c>
    </row>
    <row r="42" spans="4:23" ht="20.100000000000001" customHeight="1" x14ac:dyDescent="0.25">
      <c r="P42" s="28">
        <v>35</v>
      </c>
      <c r="Q42" s="29" t="s">
        <v>276</v>
      </c>
    </row>
    <row r="43" spans="4:23" ht="20.100000000000001" customHeight="1" x14ac:dyDescent="0.25">
      <c r="P43" s="28">
        <v>36</v>
      </c>
      <c r="Q43" s="29" t="s">
        <v>277</v>
      </c>
    </row>
    <row r="44" spans="4:23" ht="20.100000000000001" customHeight="1" x14ac:dyDescent="0.25">
      <c r="P44" s="28">
        <v>37</v>
      </c>
      <c r="Q44" s="29" t="s">
        <v>278</v>
      </c>
    </row>
    <row r="45" spans="4:23" ht="20.100000000000001" customHeight="1" x14ac:dyDescent="0.25">
      <c r="P45" s="28">
        <v>38</v>
      </c>
      <c r="Q45" s="29" t="s">
        <v>279</v>
      </c>
    </row>
    <row r="46" spans="4:23" ht="20.100000000000001" customHeight="1" x14ac:dyDescent="0.25">
      <c r="P46" s="28"/>
      <c r="Q46" s="29"/>
    </row>
    <row r="47" spans="4:23" ht="20.100000000000001" customHeight="1" x14ac:dyDescent="0.25">
      <c r="P47" s="28"/>
      <c r="Q47" s="29"/>
    </row>
    <row r="48" spans="4:23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</sheetData>
  <mergeCells count="4">
    <mergeCell ref="P26:Q26"/>
    <mergeCell ref="S26:T26"/>
    <mergeCell ref="V26:W26"/>
    <mergeCell ref="L26:N2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8987-887C-4347-AA60-65DD9036ABC1}">
  <sheetPr codeName="sh_Transitions"/>
  <dimension ref="A1:N20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20.25" x14ac:dyDescent="0.3"/>
  <cols>
    <col min="1" max="1" width="16.7109375" style="3" customWidth="1"/>
    <col min="2" max="2" width="10.7109375" style="4" customWidth="1"/>
    <col min="3" max="3" width="1.7109375" style="4" customWidth="1"/>
    <col min="4" max="4" width="1.7109375" customWidth="1"/>
    <col min="5" max="6" width="14.7109375" customWidth="1"/>
    <col min="7" max="7" width="15.42578125" customWidth="1"/>
    <col min="8" max="8" width="3.7109375" customWidth="1"/>
    <col min="9" max="9" width="12" customWidth="1"/>
    <col min="10" max="10" width="14.7109375" customWidth="1"/>
    <col min="11" max="11" width="21" bestFit="1" customWidth="1"/>
    <col min="12" max="12" width="3.7109375" customWidth="1"/>
    <col min="13" max="13" width="13.140625" style="18" customWidth="1"/>
  </cols>
  <sheetData>
    <row r="1" spans="1:14" ht="26.1" customHeight="1" x14ac:dyDescent="0.3">
      <c r="A1" s="66" t="s">
        <v>2</v>
      </c>
      <c r="B1" s="15"/>
      <c r="C1"/>
      <c r="D1" s="8"/>
      <c r="I1" s="25" t="s">
        <v>13</v>
      </c>
      <c r="J1" s="19" t="s">
        <v>12</v>
      </c>
      <c r="K1" s="19" t="s">
        <v>39</v>
      </c>
      <c r="L1" s="20"/>
      <c r="M1" s="21" t="s">
        <v>40</v>
      </c>
      <c r="N1" s="20"/>
    </row>
    <row r="2" spans="1:14" ht="20.100000000000001" customHeight="1" x14ac:dyDescent="0.3">
      <c r="C2"/>
      <c r="I2" s="26">
        <v>3855</v>
      </c>
      <c r="J2" s="27" t="s">
        <v>4</v>
      </c>
      <c r="K2" s="27"/>
      <c r="L2" s="20"/>
      <c r="M2" s="20"/>
      <c r="N2" s="20"/>
    </row>
    <row r="3" spans="1:14" ht="20.100000000000001" customHeight="1" x14ac:dyDescent="0.3">
      <c r="A3" s="13" t="s">
        <v>32</v>
      </c>
      <c r="B3" s="14"/>
      <c r="C3"/>
      <c r="D3" s="8"/>
      <c r="E3" s="9" t="s">
        <v>34</v>
      </c>
      <c r="F3" s="10"/>
      <c r="G3" s="10"/>
      <c r="I3" s="28">
        <v>3954</v>
      </c>
      <c r="J3" s="29" t="s">
        <v>5</v>
      </c>
      <c r="K3" s="29"/>
      <c r="L3" s="20"/>
      <c r="M3" s="20" t="s">
        <v>41</v>
      </c>
      <c r="N3" s="20"/>
    </row>
    <row r="4" spans="1:14" ht="20.100000000000001" customHeight="1" x14ac:dyDescent="0.3">
      <c r="C4"/>
      <c r="D4" s="8"/>
      <c r="I4" s="28">
        <v>3849</v>
      </c>
      <c r="J4" s="29" t="s">
        <v>3</v>
      </c>
      <c r="K4" s="29"/>
      <c r="L4" s="20"/>
      <c r="M4" s="20" t="s">
        <v>42</v>
      </c>
      <c r="N4" s="20"/>
    </row>
    <row r="5" spans="1:14" ht="20.100000000000001" customHeight="1" x14ac:dyDescent="0.3">
      <c r="C5"/>
      <c r="D5" s="8"/>
      <c r="E5" s="17" t="s">
        <v>26</v>
      </c>
      <c r="F5" s="16" t="s">
        <v>18</v>
      </c>
      <c r="G5" s="16" t="s">
        <v>25</v>
      </c>
      <c r="I5" s="28">
        <v>2817</v>
      </c>
      <c r="J5" s="29" t="s">
        <v>6</v>
      </c>
      <c r="K5" s="29"/>
      <c r="L5" s="20"/>
      <c r="M5" s="22" t="s">
        <v>18</v>
      </c>
      <c r="N5" s="23" t="s">
        <v>43</v>
      </c>
    </row>
    <row r="6" spans="1:14" ht="20.100000000000001" customHeight="1" x14ac:dyDescent="0.3">
      <c r="C6"/>
      <c r="D6" s="8"/>
      <c r="E6" s="40" t="s">
        <v>35</v>
      </c>
      <c r="F6" s="41">
        <v>2</v>
      </c>
      <c r="G6" s="41" t="s">
        <v>14</v>
      </c>
      <c r="I6" s="28">
        <v>3587</v>
      </c>
      <c r="J6" s="29" t="s">
        <v>7</v>
      </c>
      <c r="K6" s="29"/>
      <c r="L6" s="20"/>
      <c r="M6" s="22" t="s">
        <v>25</v>
      </c>
      <c r="N6" s="23" t="s">
        <v>44</v>
      </c>
    </row>
    <row r="7" spans="1:14" ht="20.100000000000001" customHeight="1" x14ac:dyDescent="0.3">
      <c r="C7"/>
      <c r="D7" s="8"/>
      <c r="E7" s="42" t="s">
        <v>36</v>
      </c>
      <c r="F7" s="43">
        <v>2</v>
      </c>
      <c r="G7" s="43" t="s">
        <v>14</v>
      </c>
      <c r="I7" s="28">
        <v>3894</v>
      </c>
      <c r="J7" s="29" t="s">
        <v>8</v>
      </c>
      <c r="K7" s="29"/>
      <c r="L7" s="20"/>
      <c r="M7" s="20" t="s">
        <v>45</v>
      </c>
      <c r="N7" s="20"/>
    </row>
    <row r="8" spans="1:14" ht="20.100000000000001" customHeight="1" x14ac:dyDescent="0.3">
      <c r="C8"/>
      <c r="D8" s="8"/>
      <c r="E8" s="42" t="s">
        <v>37</v>
      </c>
      <c r="F8" s="43">
        <v>2</v>
      </c>
      <c r="G8" s="43" t="s">
        <v>14</v>
      </c>
      <c r="I8" s="28">
        <v>2306</v>
      </c>
      <c r="J8" s="29" t="s">
        <v>9</v>
      </c>
      <c r="K8" s="29"/>
      <c r="L8" s="20"/>
      <c r="M8" s="20"/>
      <c r="N8" s="20"/>
    </row>
    <row r="9" spans="1:14" ht="20.100000000000001" customHeight="1" x14ac:dyDescent="0.3">
      <c r="C9"/>
      <c r="D9" s="8"/>
      <c r="E9" s="42" t="s">
        <v>38</v>
      </c>
      <c r="F9" s="43">
        <v>2</v>
      </c>
      <c r="G9" s="43" t="s">
        <v>14</v>
      </c>
      <c r="I9" s="28">
        <v>3845</v>
      </c>
      <c r="J9" s="29" t="s">
        <v>10</v>
      </c>
      <c r="K9" s="29"/>
      <c r="L9" s="20"/>
      <c r="M9" s="20"/>
      <c r="N9" s="20"/>
    </row>
    <row r="10" spans="1:14" ht="20.100000000000001" customHeight="1" x14ac:dyDescent="0.3">
      <c r="C10"/>
      <c r="D10" s="8"/>
      <c r="E10" s="38" t="s">
        <v>402</v>
      </c>
      <c r="F10" s="38">
        <v>2</v>
      </c>
      <c r="G10" s="38" t="s">
        <v>14</v>
      </c>
      <c r="I10" s="28">
        <v>1281</v>
      </c>
      <c r="J10" s="29" t="s">
        <v>11</v>
      </c>
      <c r="K10" s="29"/>
      <c r="L10" s="20"/>
      <c r="M10" s="20"/>
      <c r="N10" s="20"/>
    </row>
    <row r="11" spans="1:14" ht="20.100000000000001" customHeight="1" x14ac:dyDescent="0.3">
      <c r="C11"/>
      <c r="D11" s="8"/>
      <c r="E11" s="38" t="s">
        <v>403</v>
      </c>
      <c r="F11" s="38">
        <v>2</v>
      </c>
      <c r="G11" s="38" t="s">
        <v>14</v>
      </c>
      <c r="I11" s="28">
        <v>0</v>
      </c>
      <c r="J11" s="29" t="s">
        <v>14</v>
      </c>
      <c r="K11" s="29" t="s">
        <v>46</v>
      </c>
      <c r="L11" s="20"/>
      <c r="M11" s="20"/>
      <c r="N11" s="20"/>
    </row>
    <row r="12" spans="1:14" ht="20.100000000000001" customHeight="1" x14ac:dyDescent="0.3">
      <c r="C12"/>
      <c r="D12" s="8"/>
      <c r="E12" s="38" t="s">
        <v>404</v>
      </c>
      <c r="F12" s="38">
        <v>2</v>
      </c>
      <c r="G12" s="38" t="s">
        <v>14</v>
      </c>
      <c r="I12" s="20"/>
      <c r="J12" s="20"/>
      <c r="K12" s="20"/>
      <c r="L12" s="20"/>
      <c r="M12" s="20"/>
      <c r="N12" s="20"/>
    </row>
    <row r="13" spans="1:14" ht="20.100000000000001" customHeight="1" x14ac:dyDescent="0.3">
      <c r="C13"/>
      <c r="D13" s="8"/>
      <c r="E13" s="38" t="s">
        <v>405</v>
      </c>
      <c r="F13" s="38">
        <v>2</v>
      </c>
      <c r="G13" s="38" t="s">
        <v>14</v>
      </c>
      <c r="I13" s="20"/>
      <c r="J13" s="20"/>
      <c r="K13" s="20"/>
      <c r="L13" s="20"/>
      <c r="M13" s="20"/>
      <c r="N13" s="20"/>
    </row>
    <row r="14" spans="1:14" ht="20.100000000000001" customHeight="1" x14ac:dyDescent="0.3">
      <c r="C14"/>
      <c r="D14" s="8"/>
      <c r="E14" s="38" t="s">
        <v>406</v>
      </c>
      <c r="F14" s="38">
        <v>2</v>
      </c>
      <c r="G14" s="38" t="s">
        <v>14</v>
      </c>
      <c r="I14" s="20"/>
      <c r="J14" s="20"/>
      <c r="K14" s="20"/>
      <c r="L14" s="20"/>
      <c r="M14" s="20"/>
      <c r="N14" s="20"/>
    </row>
    <row r="15" spans="1:14" ht="20.100000000000001" customHeight="1" x14ac:dyDescent="0.3">
      <c r="C15"/>
      <c r="D15" s="8"/>
      <c r="E15" s="38" t="s">
        <v>407</v>
      </c>
      <c r="F15" s="38">
        <v>2</v>
      </c>
      <c r="G15" s="38" t="s">
        <v>14</v>
      </c>
      <c r="M15" s="3"/>
    </row>
    <row r="16" spans="1:14" ht="20.100000000000001" customHeight="1" x14ac:dyDescent="0.3">
      <c r="C16"/>
      <c r="D16" s="8"/>
      <c r="E16" s="38" t="s">
        <v>408</v>
      </c>
      <c r="F16" s="38">
        <v>2</v>
      </c>
      <c r="G16" s="38" t="s">
        <v>14</v>
      </c>
      <c r="M16" s="3"/>
    </row>
    <row r="17" spans="3:13" ht="20.100000000000001" customHeight="1" x14ac:dyDescent="0.3">
      <c r="C17"/>
      <c r="D17" s="8"/>
      <c r="E17" s="38" t="s">
        <v>409</v>
      </c>
      <c r="F17" s="38">
        <v>2</v>
      </c>
      <c r="G17" s="38" t="s">
        <v>14</v>
      </c>
      <c r="M17" s="3"/>
    </row>
    <row r="18" spans="3:13" ht="20.100000000000001" customHeight="1" x14ac:dyDescent="0.3">
      <c r="C18"/>
      <c r="D18" s="8"/>
      <c r="E18" s="38" t="s">
        <v>410</v>
      </c>
      <c r="F18" s="38">
        <v>2</v>
      </c>
      <c r="G18" s="38" t="s">
        <v>14</v>
      </c>
    </row>
    <row r="19" spans="3:13" ht="20.100000000000001" customHeight="1" x14ac:dyDescent="0.3">
      <c r="C19"/>
      <c r="D19" s="8"/>
      <c r="E19" s="38" t="s">
        <v>411</v>
      </c>
      <c r="F19" s="38">
        <v>2</v>
      </c>
      <c r="G19" s="38" t="s">
        <v>14</v>
      </c>
    </row>
    <row r="20" spans="3:13" ht="20.100000000000001" customHeight="1" x14ac:dyDescent="0.3">
      <c r="C20"/>
      <c r="D20" s="8"/>
      <c r="E20" s="38"/>
      <c r="F20" s="38"/>
      <c r="G20" s="38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243A-BE81-436F-84C4-ABBBE50C38E3}">
  <sheetPr codeName="sh_Animations"/>
  <dimension ref="A1:T33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8" customWidth="1"/>
    <col min="3" max="4" width="1.7109375" customWidth="1"/>
    <col min="5" max="5" width="14.42578125" customWidth="1"/>
    <col min="6" max="6" width="24" bestFit="1" customWidth="1"/>
    <col min="7" max="7" width="22.5703125" style="48" customWidth="1"/>
    <col min="8" max="8" width="16.28515625" customWidth="1"/>
    <col min="9" max="9" width="26.28515625" bestFit="1" customWidth="1"/>
    <col min="10" max="13" width="12.28515625" customWidth="1"/>
    <col min="14" max="14" width="3.7109375" customWidth="1"/>
    <col min="15" max="15" width="10.5703125" customWidth="1"/>
    <col min="16" max="16" width="21" customWidth="1"/>
    <col min="17" max="17" width="28.140625" bestFit="1" customWidth="1"/>
    <col min="18" max="18" width="3.7109375" customWidth="1"/>
    <col min="19" max="19" width="13.85546875" customWidth="1"/>
  </cols>
  <sheetData>
    <row r="1" spans="1:20" ht="26.1" customHeight="1" x14ac:dyDescent="0.3">
      <c r="A1" s="66" t="s">
        <v>15</v>
      </c>
      <c r="B1" s="15"/>
      <c r="D1" s="8"/>
      <c r="O1" s="19" t="s">
        <v>13</v>
      </c>
      <c r="P1" s="19" t="s">
        <v>12</v>
      </c>
      <c r="Q1" s="19" t="s">
        <v>39</v>
      </c>
      <c r="R1" s="20"/>
      <c r="S1" s="21" t="s">
        <v>40</v>
      </c>
      <c r="T1" s="20"/>
    </row>
    <row r="2" spans="1:20" ht="20.100000000000001" customHeight="1" x14ac:dyDescent="0.3">
      <c r="A2" s="60" t="s">
        <v>400</v>
      </c>
      <c r="O2" s="26"/>
      <c r="P2" s="27" t="s">
        <v>14</v>
      </c>
      <c r="Q2" s="27" t="s">
        <v>19</v>
      </c>
      <c r="R2" s="20"/>
      <c r="S2" s="20"/>
      <c r="T2" s="20"/>
    </row>
    <row r="3" spans="1:20" ht="20.100000000000001" customHeight="1" x14ac:dyDescent="0.3">
      <c r="A3" s="13" t="s">
        <v>32</v>
      </c>
      <c r="B3" s="14"/>
      <c r="D3" s="8"/>
      <c r="E3" s="9" t="s">
        <v>34</v>
      </c>
      <c r="F3" s="10"/>
      <c r="G3" s="49"/>
      <c r="H3" s="10"/>
      <c r="O3" s="39">
        <v>1</v>
      </c>
      <c r="P3" s="29" t="s">
        <v>85</v>
      </c>
      <c r="Q3" s="29"/>
      <c r="R3" s="20"/>
      <c r="S3" s="20" t="s">
        <v>48</v>
      </c>
      <c r="T3" s="20"/>
    </row>
    <row r="4" spans="1:20" ht="20.100000000000001" customHeight="1" x14ac:dyDescent="0.3">
      <c r="A4" s="3"/>
      <c r="B4" s="4"/>
      <c r="D4" s="8"/>
      <c r="O4" s="39">
        <v>2</v>
      </c>
      <c r="P4" s="29" t="s">
        <v>86</v>
      </c>
      <c r="Q4" s="29"/>
      <c r="R4" s="20"/>
      <c r="S4" s="20" t="s">
        <v>49</v>
      </c>
      <c r="T4" s="20"/>
    </row>
    <row r="5" spans="1:20" ht="20.100000000000001" customHeight="1" thickBot="1" x14ac:dyDescent="0.35">
      <c r="A5" s="2" t="s">
        <v>33</v>
      </c>
      <c r="B5" s="7">
        <v>6</v>
      </c>
      <c r="D5" s="8"/>
      <c r="E5" s="24" t="s">
        <v>16</v>
      </c>
      <c r="F5" s="24" t="s">
        <v>51</v>
      </c>
      <c r="G5" s="50" t="s">
        <v>17</v>
      </c>
      <c r="H5" s="24" t="s">
        <v>18</v>
      </c>
      <c r="O5" s="39">
        <v>6</v>
      </c>
      <c r="P5" s="29" t="s">
        <v>87</v>
      </c>
      <c r="Q5" s="29"/>
      <c r="R5" s="20"/>
      <c r="S5" s="20" t="s">
        <v>42</v>
      </c>
      <c r="T5" s="20"/>
    </row>
    <row r="6" spans="1:20" ht="20.100000000000001" customHeight="1" thickTop="1" x14ac:dyDescent="0.25">
      <c r="D6" s="8"/>
      <c r="E6" s="35">
        <v>1</v>
      </c>
      <c r="F6" s="35" t="s">
        <v>399</v>
      </c>
      <c r="G6" s="51" t="s">
        <v>97</v>
      </c>
      <c r="H6" s="35">
        <v>1.5</v>
      </c>
      <c r="O6" s="39">
        <v>10</v>
      </c>
      <c r="P6" s="29" t="s">
        <v>88</v>
      </c>
      <c r="Q6" s="29"/>
      <c r="R6" s="20"/>
      <c r="S6" s="22" t="s">
        <v>16</v>
      </c>
      <c r="T6" s="23" t="s">
        <v>50</v>
      </c>
    </row>
    <row r="7" spans="1:20" ht="20.100000000000001" customHeight="1" x14ac:dyDescent="0.25">
      <c r="D7" s="8"/>
      <c r="E7" s="36">
        <v>2</v>
      </c>
      <c r="F7" s="36"/>
      <c r="G7" s="52"/>
      <c r="H7" s="36"/>
      <c r="O7" s="39">
        <v>14</v>
      </c>
      <c r="P7" s="29" t="s">
        <v>89</v>
      </c>
      <c r="Q7" s="29"/>
      <c r="R7" s="20"/>
      <c r="S7" s="22" t="s">
        <v>51</v>
      </c>
      <c r="T7" s="23" t="s">
        <v>52</v>
      </c>
    </row>
    <row r="8" spans="1:20" ht="20.100000000000001" customHeight="1" x14ac:dyDescent="0.25">
      <c r="D8" s="8"/>
      <c r="E8" s="36">
        <v>3</v>
      </c>
      <c r="F8" s="36"/>
      <c r="G8" s="52"/>
      <c r="H8" s="36"/>
      <c r="I8" s="93"/>
      <c r="J8" s="93"/>
      <c r="K8" s="93"/>
      <c r="L8" s="93"/>
      <c r="M8" s="93"/>
      <c r="O8" s="39">
        <v>16</v>
      </c>
      <c r="P8" s="29" t="s">
        <v>90</v>
      </c>
      <c r="Q8" s="29"/>
      <c r="R8" s="20"/>
      <c r="S8" s="22" t="s">
        <v>17</v>
      </c>
      <c r="T8" s="23" t="s">
        <v>53</v>
      </c>
    </row>
    <row r="9" spans="1:20" ht="20.100000000000001" customHeight="1" x14ac:dyDescent="0.25">
      <c r="D9" s="8"/>
      <c r="E9" s="36">
        <v>4</v>
      </c>
      <c r="F9" s="36"/>
      <c r="G9" s="52"/>
      <c r="H9" s="36"/>
      <c r="I9" s="93"/>
      <c r="J9" s="93"/>
      <c r="K9" s="93"/>
      <c r="L9" s="93"/>
      <c r="M9" s="93"/>
      <c r="O9" s="39">
        <v>21</v>
      </c>
      <c r="P9" s="29" t="s">
        <v>91</v>
      </c>
      <c r="Q9" s="29"/>
      <c r="R9" s="20"/>
      <c r="S9" s="22" t="s">
        <v>18</v>
      </c>
      <c r="T9" s="23" t="s">
        <v>54</v>
      </c>
    </row>
    <row r="10" spans="1:20" ht="20.100000000000001" customHeight="1" x14ac:dyDescent="0.25">
      <c r="D10" s="8"/>
      <c r="E10" s="36">
        <v>5</v>
      </c>
      <c r="F10" s="36"/>
      <c r="G10" s="52"/>
      <c r="H10" s="36"/>
      <c r="I10" s="93"/>
      <c r="J10" s="93"/>
      <c r="K10" s="93"/>
      <c r="L10" s="93"/>
      <c r="M10" s="93"/>
      <c r="O10" s="39">
        <v>22</v>
      </c>
      <c r="P10" s="29" t="s">
        <v>92</v>
      </c>
      <c r="Q10" s="29"/>
      <c r="R10" s="20"/>
      <c r="S10" s="20" t="s">
        <v>47</v>
      </c>
      <c r="T10" s="20"/>
    </row>
    <row r="11" spans="1:20" ht="20.100000000000001" customHeight="1" x14ac:dyDescent="0.25">
      <c r="D11" s="8"/>
      <c r="E11" s="36">
        <v>6</v>
      </c>
      <c r="F11" s="36"/>
      <c r="G11" s="52"/>
      <c r="H11" s="36"/>
      <c r="I11" s="93"/>
      <c r="J11" s="93"/>
      <c r="K11" s="93"/>
      <c r="L11" s="93"/>
      <c r="M11" s="93"/>
      <c r="O11" s="39">
        <v>26</v>
      </c>
      <c r="P11" s="29" t="s">
        <v>93</v>
      </c>
      <c r="Q11" s="29"/>
      <c r="R11" s="20"/>
      <c r="S11" s="20"/>
      <c r="T11" s="20"/>
    </row>
    <row r="12" spans="1:20" ht="20.100000000000001" customHeight="1" x14ac:dyDescent="0.25">
      <c r="D12" s="8"/>
      <c r="E12" s="36">
        <v>7</v>
      </c>
      <c r="F12" s="36"/>
      <c r="G12" s="52"/>
      <c r="H12" s="36"/>
      <c r="I12" s="93"/>
      <c r="J12" s="93"/>
      <c r="K12" s="93"/>
      <c r="L12" s="93"/>
      <c r="M12" s="93"/>
      <c r="O12" s="39">
        <v>31</v>
      </c>
      <c r="P12" s="29" t="s">
        <v>94</v>
      </c>
      <c r="Q12" s="29"/>
      <c r="R12" s="20"/>
      <c r="S12" s="20"/>
      <c r="T12" s="20"/>
    </row>
    <row r="13" spans="1:20" ht="20.100000000000001" customHeight="1" x14ac:dyDescent="0.25">
      <c r="D13" s="8"/>
      <c r="E13" s="36">
        <v>8</v>
      </c>
      <c r="F13" s="37"/>
      <c r="G13" s="52"/>
      <c r="H13" s="37"/>
      <c r="I13" s="94"/>
      <c r="J13" s="94"/>
      <c r="K13" s="94"/>
      <c r="L13" s="94"/>
      <c r="M13" s="94"/>
      <c r="O13" s="39">
        <v>41</v>
      </c>
      <c r="P13" s="29" t="s">
        <v>95</v>
      </c>
      <c r="Q13" s="29"/>
      <c r="R13" s="20"/>
      <c r="S13" s="20"/>
      <c r="T13" s="20"/>
    </row>
    <row r="14" spans="1:20" ht="20.100000000000001" customHeight="1" x14ac:dyDescent="0.25">
      <c r="D14" s="8"/>
      <c r="E14" s="36">
        <v>9</v>
      </c>
      <c r="F14" s="37"/>
      <c r="G14" s="52"/>
      <c r="H14" s="37"/>
      <c r="I14" s="94"/>
      <c r="J14" s="94"/>
      <c r="K14" s="94"/>
      <c r="L14" s="94"/>
      <c r="M14" s="94"/>
      <c r="O14" s="39">
        <v>48</v>
      </c>
      <c r="P14" s="29" t="s">
        <v>96</v>
      </c>
      <c r="Q14" s="29"/>
      <c r="R14" s="20"/>
      <c r="S14" s="20"/>
      <c r="T14" s="20"/>
    </row>
    <row r="15" spans="1:20" ht="20.100000000000001" customHeight="1" x14ac:dyDescent="0.25">
      <c r="D15" s="8"/>
      <c r="E15" s="36">
        <v>10</v>
      </c>
      <c r="F15" s="37"/>
      <c r="G15" s="52"/>
      <c r="H15" s="37"/>
      <c r="I15" s="94"/>
      <c r="J15" s="94"/>
      <c r="K15" s="94"/>
      <c r="L15" s="94"/>
      <c r="M15" s="94"/>
      <c r="O15" s="39">
        <v>94</v>
      </c>
      <c r="P15" s="29" t="s">
        <v>84</v>
      </c>
      <c r="Q15" s="29" t="s">
        <v>83</v>
      </c>
    </row>
    <row r="16" spans="1:20" ht="20.100000000000001" customHeight="1" x14ac:dyDescent="0.25">
      <c r="D16" s="8"/>
      <c r="E16" s="36">
        <v>11</v>
      </c>
      <c r="F16" s="37"/>
      <c r="G16" s="52"/>
      <c r="H16" s="37"/>
      <c r="I16" s="94"/>
      <c r="J16" s="94"/>
      <c r="K16" s="94"/>
      <c r="L16" s="94"/>
      <c r="M16" s="94"/>
      <c r="O16" s="39"/>
      <c r="P16" s="29"/>
      <c r="Q16" s="29"/>
    </row>
    <row r="17" spans="1:17" ht="20.100000000000001" customHeight="1" x14ac:dyDescent="0.25">
      <c r="D17" s="8"/>
      <c r="E17" s="36">
        <v>12</v>
      </c>
      <c r="F17" s="37"/>
      <c r="G17" s="52"/>
      <c r="H17" s="37"/>
      <c r="I17" s="94"/>
      <c r="J17" s="94"/>
      <c r="K17" s="94"/>
      <c r="L17" s="94"/>
      <c r="M17" s="94"/>
      <c r="O17" s="39"/>
      <c r="P17" s="29"/>
      <c r="Q17" s="29"/>
    </row>
    <row r="18" spans="1:17" ht="20.100000000000001" customHeight="1" x14ac:dyDescent="0.25">
      <c r="D18" s="8"/>
      <c r="E18" s="36">
        <v>13</v>
      </c>
      <c r="F18" s="37"/>
      <c r="G18" s="52"/>
      <c r="H18" s="37"/>
      <c r="I18" s="94"/>
      <c r="J18" s="94"/>
      <c r="K18" s="94"/>
      <c r="L18" s="94"/>
      <c r="M18" s="94"/>
      <c r="O18" s="39"/>
      <c r="P18" s="29"/>
      <c r="Q18" s="29"/>
    </row>
    <row r="19" spans="1:17" ht="20.100000000000001" customHeight="1" x14ac:dyDescent="0.25">
      <c r="D19" s="8"/>
      <c r="E19" s="36">
        <v>14</v>
      </c>
      <c r="F19" s="37"/>
      <c r="G19" s="52"/>
      <c r="H19" s="37"/>
      <c r="I19" s="94"/>
      <c r="J19" s="94"/>
      <c r="K19" s="94"/>
      <c r="L19" s="94"/>
      <c r="M19" s="94"/>
      <c r="O19" s="39"/>
      <c r="P19" s="29"/>
      <c r="Q19" s="29"/>
    </row>
    <row r="20" spans="1:17" ht="20.100000000000001" customHeight="1" x14ac:dyDescent="0.25">
      <c r="D20" s="8"/>
      <c r="E20" s="36">
        <v>15</v>
      </c>
      <c r="F20" s="37"/>
      <c r="G20" s="52"/>
      <c r="H20" s="37"/>
      <c r="I20" s="94"/>
      <c r="J20" s="94"/>
      <c r="K20" s="94"/>
      <c r="L20" s="94"/>
      <c r="M20" s="94"/>
      <c r="O20" s="39"/>
      <c r="P20" s="29"/>
      <c r="Q20" s="29"/>
    </row>
    <row r="21" spans="1:17" ht="20.100000000000001" customHeight="1" x14ac:dyDescent="0.25">
      <c r="D21" s="8"/>
      <c r="E21" s="36">
        <v>16</v>
      </c>
      <c r="F21" s="38"/>
      <c r="G21" s="53"/>
      <c r="H21" s="38"/>
      <c r="I21" s="95"/>
      <c r="J21" s="95"/>
      <c r="K21" s="95"/>
      <c r="L21" s="95"/>
      <c r="M21" s="95"/>
    </row>
    <row r="22" spans="1:17" ht="20.100000000000001" customHeight="1" x14ac:dyDescent="0.25"/>
    <row r="23" spans="1:17" ht="19.5" x14ac:dyDescent="0.3">
      <c r="A23" s="60" t="s">
        <v>401</v>
      </c>
    </row>
    <row r="24" spans="1:17" ht="20.100000000000001" customHeight="1" x14ac:dyDescent="0.3">
      <c r="A24" s="13" t="s">
        <v>32</v>
      </c>
      <c r="B24" s="14"/>
      <c r="D24" s="8"/>
      <c r="E24" s="9" t="s">
        <v>34</v>
      </c>
      <c r="F24" s="10"/>
      <c r="H24" s="91" t="s">
        <v>389</v>
      </c>
      <c r="I24" s="92">
        <f>IF(AND(F26=I26,F27=I27,F28=I28),1,0)</f>
        <v>1</v>
      </c>
    </row>
    <row r="25" spans="1:17" ht="20.100000000000001" customHeight="1" x14ac:dyDescent="0.3">
      <c r="A25" s="3"/>
      <c r="B25" s="4"/>
      <c r="D25" s="8"/>
    </row>
    <row r="26" spans="1:17" ht="20.100000000000001" customHeight="1" thickBot="1" x14ac:dyDescent="0.35">
      <c r="A26" s="2" t="s">
        <v>33</v>
      </c>
      <c r="B26" s="7">
        <v>6</v>
      </c>
      <c r="D26" s="8"/>
      <c r="E26" s="96" t="s">
        <v>412</v>
      </c>
      <c r="F26" s="97" t="s">
        <v>399</v>
      </c>
      <c r="H26" s="96" t="s">
        <v>412</v>
      </c>
      <c r="I26" s="47" t="s">
        <v>399</v>
      </c>
    </row>
    <row r="27" spans="1:17" ht="20.100000000000001" customHeight="1" thickTop="1" x14ac:dyDescent="0.3">
      <c r="D27" s="8"/>
      <c r="E27" s="96" t="s">
        <v>25</v>
      </c>
      <c r="F27" s="97" t="s">
        <v>97</v>
      </c>
      <c r="H27" s="96" t="s">
        <v>25</v>
      </c>
      <c r="I27" s="47" t="s">
        <v>97</v>
      </c>
    </row>
    <row r="28" spans="1:17" ht="20.100000000000001" customHeight="1" thickBot="1" x14ac:dyDescent="0.35">
      <c r="A28" s="2" t="s">
        <v>67</v>
      </c>
      <c r="B28" s="7" t="s">
        <v>399</v>
      </c>
      <c r="D28" s="8"/>
      <c r="E28" s="96" t="s">
        <v>18</v>
      </c>
      <c r="F28" s="97">
        <v>1.5</v>
      </c>
      <c r="H28" s="96" t="s">
        <v>18</v>
      </c>
      <c r="I28" s="47">
        <v>1.5</v>
      </c>
    </row>
    <row r="29" spans="1:17" ht="20.100000000000001" customHeight="1" thickTop="1" x14ac:dyDescent="0.25">
      <c r="D29" s="8"/>
    </row>
    <row r="30" spans="1:17" ht="20.100000000000001" customHeight="1" x14ac:dyDescent="0.25">
      <c r="D30" s="8"/>
    </row>
    <row r="31" spans="1:17" ht="20.100000000000001" customHeight="1" x14ac:dyDescent="0.25">
      <c r="D31" s="8"/>
    </row>
    <row r="32" spans="1:17" ht="20.100000000000001" customHeight="1" x14ac:dyDescent="0.25">
      <c r="D32" s="8"/>
    </row>
    <row r="33" spans="4:4" ht="20.100000000000001" customHeight="1" x14ac:dyDescent="0.25">
      <c r="D33" s="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BACB-9781-4F4E-A741-8B3F4E43A211}">
  <sheetPr codeName="sh_Section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23.42578125" customWidth="1"/>
    <col min="6" max="6" width="24.7109375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74</v>
      </c>
      <c r="B1" s="15"/>
      <c r="M1" s="21" t="s">
        <v>40</v>
      </c>
    </row>
    <row r="2" spans="1:14" ht="20.100000000000001" customHeight="1" x14ac:dyDescent="0.25"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M3" s="20" t="s">
        <v>48</v>
      </c>
    </row>
    <row r="4" spans="1:14" ht="20.100000000000001" customHeight="1" x14ac:dyDescent="0.25">
      <c r="D4" s="8"/>
      <c r="M4" s="20" t="s">
        <v>79</v>
      </c>
    </row>
    <row r="5" spans="1:14" ht="20.100000000000001" customHeight="1" thickBot="1" x14ac:dyDescent="0.35">
      <c r="A5" s="2" t="s">
        <v>33</v>
      </c>
      <c r="B5" s="7">
        <v>2</v>
      </c>
      <c r="D5" s="8"/>
      <c r="E5" s="31" t="s">
        <v>75</v>
      </c>
      <c r="F5" s="47" t="s">
        <v>76</v>
      </c>
      <c r="M5" s="30" t="s">
        <v>80</v>
      </c>
    </row>
    <row r="6" spans="1:14" ht="20.100000000000001" customHeight="1" thickTop="1" x14ac:dyDescent="0.3">
      <c r="D6" s="8"/>
      <c r="E6" s="31" t="s">
        <v>77</v>
      </c>
      <c r="F6" s="47">
        <v>2</v>
      </c>
      <c r="G6" t="s">
        <v>81</v>
      </c>
      <c r="M6" s="30"/>
    </row>
    <row r="7" spans="1:14" ht="20.100000000000001" customHeight="1" x14ac:dyDescent="0.3">
      <c r="D7" s="8"/>
      <c r="E7" s="31" t="s">
        <v>78</v>
      </c>
      <c r="F7" s="47">
        <v>6</v>
      </c>
      <c r="G7" t="s">
        <v>82</v>
      </c>
      <c r="M7" s="20"/>
    </row>
    <row r="8" spans="1:14" ht="20.100000000000001" customHeight="1" x14ac:dyDescent="0.25">
      <c r="D8" s="8"/>
    </row>
    <row r="9" spans="1:14" ht="20.100000000000001" customHeight="1" x14ac:dyDescent="0.25">
      <c r="D9" s="8"/>
    </row>
    <row r="10" spans="1:14" ht="20.100000000000001" customHeight="1" x14ac:dyDescent="0.25">
      <c r="D10" s="8"/>
    </row>
    <row r="11" spans="1:14" ht="20.100000000000001" customHeight="1" x14ac:dyDescent="0.25">
      <c r="D11" s="8"/>
    </row>
    <row r="12" spans="1:14" x14ac:dyDescent="0.25">
      <c r="D12" s="8"/>
    </row>
    <row r="13" spans="1:14" x14ac:dyDescent="0.25">
      <c r="D13" s="8"/>
    </row>
    <row r="14" spans="1:14" x14ac:dyDescent="0.25">
      <c r="D14" s="8"/>
    </row>
    <row r="15" spans="1:14" x14ac:dyDescent="0.25">
      <c r="D15" s="8"/>
    </row>
    <row r="16" spans="1:14" x14ac:dyDescent="0.25">
      <c r="D16" s="8"/>
      <c r="N16" s="46"/>
    </row>
    <row r="17" spans="4:14" x14ac:dyDescent="0.25">
      <c r="D17" s="8"/>
      <c r="N17" s="46"/>
    </row>
    <row r="18" spans="4:14" x14ac:dyDescent="0.25">
      <c r="D18" s="8"/>
    </row>
    <row r="19" spans="4:14" x14ac:dyDescent="0.25">
      <c r="D19" s="8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6DAC3-3A84-407E-9311-7350281B13A7}">
  <sheetPr codeName="sh_Properties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7.85546875" customWidth="1"/>
    <col min="6" max="6" width="24.7109375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98</v>
      </c>
      <c r="B1" s="15"/>
      <c r="M1" s="21" t="s">
        <v>40</v>
      </c>
    </row>
    <row r="2" spans="1:14" ht="20.100000000000001" customHeight="1" x14ac:dyDescent="0.25"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M3" s="20" t="s">
        <v>101</v>
      </c>
    </row>
    <row r="4" spans="1:14" ht="20.100000000000001" customHeight="1" x14ac:dyDescent="0.25">
      <c r="D4" s="8"/>
      <c r="M4" s="20" t="s">
        <v>102</v>
      </c>
    </row>
    <row r="5" spans="1:14" ht="20.100000000000001" customHeight="1" x14ac:dyDescent="0.3">
      <c r="D5" s="8"/>
      <c r="E5" s="31" t="s">
        <v>99</v>
      </c>
      <c r="F5" s="47" t="s">
        <v>119</v>
      </c>
      <c r="M5" s="20" t="s">
        <v>103</v>
      </c>
    </row>
    <row r="6" spans="1:14" ht="20.100000000000001" customHeight="1" x14ac:dyDescent="0.3">
      <c r="D6" s="8"/>
      <c r="E6" s="31" t="s">
        <v>100</v>
      </c>
      <c r="F6" s="47" t="s">
        <v>120</v>
      </c>
      <c r="M6" s="30"/>
    </row>
    <row r="7" spans="1:14" ht="20.100000000000001" customHeight="1" x14ac:dyDescent="0.25">
      <c r="D7" s="8"/>
      <c r="M7" s="20"/>
    </row>
    <row r="8" spans="1:14" ht="20.100000000000001" customHeight="1" x14ac:dyDescent="0.25">
      <c r="D8" s="8"/>
    </row>
    <row r="9" spans="1:14" ht="20.100000000000001" customHeight="1" x14ac:dyDescent="0.25">
      <c r="D9" s="8"/>
    </row>
    <row r="10" spans="1:14" ht="20.100000000000001" customHeight="1" x14ac:dyDescent="0.25">
      <c r="D10" s="8"/>
    </row>
    <row r="11" spans="1:14" ht="20.100000000000001" customHeight="1" x14ac:dyDescent="0.25">
      <c r="D11" s="8"/>
    </row>
    <row r="12" spans="1:14" x14ac:dyDescent="0.25">
      <c r="D12" s="8"/>
    </row>
    <row r="13" spans="1:14" x14ac:dyDescent="0.25">
      <c r="D13" s="8"/>
    </row>
    <row r="14" spans="1:14" x14ac:dyDescent="0.25">
      <c r="D14" s="8"/>
    </row>
    <row r="15" spans="1:14" x14ac:dyDescent="0.25">
      <c r="D15" s="8"/>
    </row>
    <row r="16" spans="1:14" x14ac:dyDescent="0.25">
      <c r="D16" s="8"/>
      <c r="N16" s="46"/>
    </row>
    <row r="17" spans="4:14" x14ac:dyDescent="0.25">
      <c r="D17" s="8"/>
      <c r="N17" s="46"/>
    </row>
    <row r="18" spans="4:14" x14ac:dyDescent="0.25">
      <c r="D18" s="8"/>
    </row>
    <row r="19" spans="4:14" x14ac:dyDescent="0.25">
      <c r="D19" s="8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BEFC-F519-405D-885E-831EA4778B88}">
  <sheetPr codeName="sh_Format_Text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6.5703125" customWidth="1"/>
    <col min="6" max="6" width="19.42578125" customWidth="1"/>
    <col min="9" max="9" width="14.42578125" customWidth="1"/>
    <col min="10" max="10" width="11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117</v>
      </c>
      <c r="B1" s="15"/>
      <c r="M1" s="21" t="s">
        <v>40</v>
      </c>
    </row>
    <row r="2" spans="1:14" ht="20.100000000000001" customHeight="1" x14ac:dyDescent="0.25"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I3" s="55" t="s">
        <v>111</v>
      </c>
      <c r="J3" s="55" t="s">
        <v>112</v>
      </c>
      <c r="M3" s="20" t="s">
        <v>121</v>
      </c>
    </row>
    <row r="4" spans="1:14" ht="20.100000000000001" customHeight="1" x14ac:dyDescent="0.25">
      <c r="D4" s="8"/>
      <c r="I4" s="56">
        <v>1</v>
      </c>
      <c r="J4" s="58" t="s">
        <v>113</v>
      </c>
      <c r="M4" s="20" t="s">
        <v>122</v>
      </c>
    </row>
    <row r="5" spans="1:14" ht="20.100000000000001" customHeight="1" thickBot="1" x14ac:dyDescent="0.35">
      <c r="A5" s="2" t="s">
        <v>33</v>
      </c>
      <c r="B5" s="7">
        <v>6</v>
      </c>
      <c r="D5" s="8"/>
      <c r="E5" s="31" t="s">
        <v>104</v>
      </c>
      <c r="F5" s="47" t="s">
        <v>118</v>
      </c>
      <c r="I5" s="57">
        <v>2</v>
      </c>
      <c r="J5" s="59" t="s">
        <v>116</v>
      </c>
      <c r="M5" s="30" t="s">
        <v>123</v>
      </c>
    </row>
    <row r="6" spans="1:14" ht="20.100000000000001" customHeight="1" thickTop="1" x14ac:dyDescent="0.3">
      <c r="D6" s="8"/>
      <c r="E6" s="31" t="s">
        <v>105</v>
      </c>
      <c r="F6" s="47">
        <v>36</v>
      </c>
      <c r="I6" s="57">
        <v>3</v>
      </c>
      <c r="J6" s="59" t="s">
        <v>114</v>
      </c>
      <c r="M6" s="30"/>
    </row>
    <row r="7" spans="1:14" ht="20.100000000000001" customHeight="1" thickBot="1" x14ac:dyDescent="0.35">
      <c r="A7" s="2" t="s">
        <v>107</v>
      </c>
      <c r="B7" s="7">
        <v>1</v>
      </c>
      <c r="D7" s="8"/>
      <c r="E7" s="31" t="s">
        <v>106</v>
      </c>
      <c r="F7" s="47" t="s">
        <v>297</v>
      </c>
      <c r="I7" s="57">
        <v>4</v>
      </c>
      <c r="J7" s="59" t="s">
        <v>115</v>
      </c>
      <c r="M7" s="20"/>
    </row>
    <row r="8" spans="1:14" ht="20.100000000000001" customHeight="1" thickTop="1" x14ac:dyDescent="0.3">
      <c r="D8" s="8"/>
      <c r="E8" s="31" t="s">
        <v>108</v>
      </c>
      <c r="F8" s="47" t="b">
        <v>0</v>
      </c>
    </row>
    <row r="9" spans="1:14" ht="20.100000000000001" customHeight="1" x14ac:dyDescent="0.3">
      <c r="D9" s="8"/>
      <c r="E9" s="31" t="s">
        <v>109</v>
      </c>
      <c r="F9" s="47" t="b">
        <v>0</v>
      </c>
    </row>
    <row r="10" spans="1:14" ht="20.100000000000001" customHeight="1" x14ac:dyDescent="0.3">
      <c r="D10" s="8"/>
      <c r="E10" s="31" t="s">
        <v>110</v>
      </c>
      <c r="F10" s="47" t="s">
        <v>113</v>
      </c>
    </row>
    <row r="11" spans="1:14" ht="20.100000000000001" customHeight="1" x14ac:dyDescent="0.3">
      <c r="D11" s="8"/>
      <c r="E11" s="31"/>
      <c r="F11" s="47"/>
    </row>
    <row r="12" spans="1:14" ht="18.75" x14ac:dyDescent="0.3">
      <c r="D12" s="8"/>
      <c r="E12" s="31"/>
      <c r="F12" s="47"/>
    </row>
    <row r="13" spans="1:14" ht="18.75" x14ac:dyDescent="0.3">
      <c r="D13" s="8"/>
      <c r="E13" s="31"/>
      <c r="F13" s="47"/>
    </row>
    <row r="14" spans="1:14" x14ac:dyDescent="0.25">
      <c r="D14" s="8"/>
    </row>
    <row r="15" spans="1:14" x14ac:dyDescent="0.25">
      <c r="D15" s="8"/>
    </row>
    <row r="16" spans="1:14" x14ac:dyDescent="0.25">
      <c r="D16" s="8"/>
      <c r="N16" s="46"/>
    </row>
    <row r="17" spans="4:14" x14ac:dyDescent="0.25">
      <c r="D17" s="8"/>
      <c r="N17" s="46"/>
    </row>
    <row r="18" spans="4:14" x14ac:dyDescent="0.25">
      <c r="D18" s="8"/>
    </row>
    <row r="19" spans="4:14" x14ac:dyDescent="0.25">
      <c r="D19" s="8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82AD8-EF52-4D5A-A4F4-3D575FB1EE8B}">
  <sheetPr codeName="sh_Zoom"/>
  <dimension ref="A1:T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23.42578125" customWidth="1"/>
    <col min="6" max="6" width="24.7109375" customWidth="1"/>
    <col min="13" max="13" width="12.85546875" customWidth="1"/>
    <col min="14" max="14" width="18.85546875" customWidth="1"/>
    <col min="19" max="19" width="21.140625" customWidth="1"/>
    <col min="20" max="20" width="10.140625" bestFit="1" customWidth="1"/>
  </cols>
  <sheetData>
    <row r="1" spans="1:20" ht="26.1" customHeight="1" x14ac:dyDescent="0.3">
      <c r="A1" s="66" t="s">
        <v>144</v>
      </c>
      <c r="B1" s="15"/>
      <c r="M1" s="25" t="s">
        <v>28</v>
      </c>
      <c r="N1" s="19" t="s">
        <v>168</v>
      </c>
      <c r="S1" s="21" t="s">
        <v>40</v>
      </c>
    </row>
    <row r="2" spans="1:20" ht="20.100000000000001" customHeight="1" x14ac:dyDescent="0.25">
      <c r="M2" s="26">
        <v>-2</v>
      </c>
      <c r="N2" s="27" t="s">
        <v>159</v>
      </c>
      <c r="S2" s="20"/>
    </row>
    <row r="3" spans="1:20" ht="20.100000000000001" customHeight="1" x14ac:dyDescent="0.3">
      <c r="A3" s="13" t="s">
        <v>32</v>
      </c>
      <c r="B3" s="14"/>
      <c r="D3" s="8"/>
      <c r="E3" s="9" t="s">
        <v>34</v>
      </c>
      <c r="F3" s="10"/>
      <c r="M3" s="28">
        <v>1</v>
      </c>
      <c r="N3" s="29" t="s">
        <v>160</v>
      </c>
      <c r="S3" s="20"/>
    </row>
    <row r="4" spans="1:20" ht="20.100000000000001" customHeight="1" x14ac:dyDescent="0.25">
      <c r="D4" s="8"/>
      <c r="M4" s="28">
        <v>3</v>
      </c>
      <c r="N4" s="29" t="s">
        <v>161</v>
      </c>
      <c r="S4" s="20"/>
    </row>
    <row r="5" spans="1:20" ht="20.100000000000001" customHeight="1" thickBot="1" x14ac:dyDescent="0.35">
      <c r="A5" s="2" t="s">
        <v>33</v>
      </c>
      <c r="B5" s="7">
        <v>16</v>
      </c>
      <c r="D5" s="8"/>
      <c r="E5" s="31" t="s">
        <v>145</v>
      </c>
      <c r="F5" s="47" t="s">
        <v>330</v>
      </c>
      <c r="M5" s="28">
        <v>6</v>
      </c>
      <c r="N5" s="29" t="s">
        <v>162</v>
      </c>
      <c r="S5" s="30"/>
    </row>
    <row r="6" spans="1:20" ht="20.100000000000001" customHeight="1" thickTop="1" x14ac:dyDescent="0.3">
      <c r="D6" s="8"/>
      <c r="E6" s="31" t="s">
        <v>146</v>
      </c>
      <c r="F6" s="47" t="s">
        <v>330</v>
      </c>
      <c r="M6" s="28">
        <v>13</v>
      </c>
      <c r="N6" s="29" t="s">
        <v>24</v>
      </c>
      <c r="S6" s="30"/>
    </row>
    <row r="7" spans="1:20" ht="20.100000000000001" customHeight="1" x14ac:dyDescent="0.3">
      <c r="D7" s="8"/>
      <c r="E7" s="31" t="s">
        <v>147</v>
      </c>
      <c r="F7" s="47" t="s">
        <v>330</v>
      </c>
      <c r="M7" s="28">
        <v>14</v>
      </c>
      <c r="N7" s="29" t="s">
        <v>163</v>
      </c>
      <c r="S7" s="20"/>
    </row>
    <row r="8" spans="1:20" ht="20.100000000000001" customHeight="1" x14ac:dyDescent="0.3">
      <c r="D8" s="8"/>
      <c r="E8" s="31" t="s">
        <v>148</v>
      </c>
      <c r="F8" s="47"/>
      <c r="M8" s="28">
        <v>15</v>
      </c>
      <c r="N8" s="29" t="s">
        <v>164</v>
      </c>
    </row>
    <row r="9" spans="1:20" ht="20.100000000000001" customHeight="1" x14ac:dyDescent="0.3">
      <c r="D9" s="8"/>
      <c r="E9" s="31" t="s">
        <v>149</v>
      </c>
      <c r="F9" s="47"/>
      <c r="H9" t="s">
        <v>169</v>
      </c>
      <c r="M9" s="28">
        <v>16</v>
      </c>
      <c r="N9" s="29" t="s">
        <v>165</v>
      </c>
    </row>
    <row r="10" spans="1:20" ht="20.100000000000001" customHeight="1" x14ac:dyDescent="0.3">
      <c r="D10" s="8"/>
      <c r="E10" s="31" t="s">
        <v>150</v>
      </c>
      <c r="F10" s="47"/>
      <c r="H10" t="s">
        <v>170</v>
      </c>
      <c r="M10" s="28">
        <v>17</v>
      </c>
      <c r="N10" s="29" t="s">
        <v>158</v>
      </c>
    </row>
    <row r="11" spans="1:20" ht="20.100000000000001" customHeight="1" x14ac:dyDescent="0.3">
      <c r="D11" s="8"/>
      <c r="E11" s="31" t="s">
        <v>153</v>
      </c>
      <c r="F11" s="47"/>
      <c r="M11" s="28">
        <v>19</v>
      </c>
      <c r="N11" s="29" t="s">
        <v>166</v>
      </c>
    </row>
    <row r="12" spans="1:20" ht="18.75" x14ac:dyDescent="0.3">
      <c r="D12" s="8"/>
      <c r="E12" s="31" t="s">
        <v>154</v>
      </c>
      <c r="F12" s="47"/>
      <c r="M12" s="28">
        <v>24</v>
      </c>
      <c r="N12" s="29" t="s">
        <v>167</v>
      </c>
    </row>
    <row r="13" spans="1:20" ht="18.75" x14ac:dyDescent="0.3">
      <c r="D13" s="8"/>
      <c r="E13" s="31" t="s">
        <v>155</v>
      </c>
      <c r="F13" s="47"/>
      <c r="M13" s="28">
        <v>28</v>
      </c>
      <c r="N13" s="29" t="s">
        <v>151</v>
      </c>
    </row>
    <row r="14" spans="1:20" ht="18.75" x14ac:dyDescent="0.3">
      <c r="D14" s="8"/>
      <c r="E14" s="31" t="s">
        <v>156</v>
      </c>
      <c r="F14" s="47"/>
      <c r="M14" s="28">
        <v>30</v>
      </c>
      <c r="N14" s="29" t="s">
        <v>152</v>
      </c>
    </row>
    <row r="15" spans="1:20" ht="18.75" x14ac:dyDescent="0.3">
      <c r="D15" s="8"/>
      <c r="E15" s="31" t="s">
        <v>157</v>
      </c>
      <c r="F15" s="47"/>
    </row>
    <row r="16" spans="1:20" x14ac:dyDescent="0.25">
      <c r="D16" s="8"/>
      <c r="T16" s="46"/>
    </row>
    <row r="17" spans="4:20" x14ac:dyDescent="0.25">
      <c r="D17" s="8"/>
      <c r="T17" s="46"/>
    </row>
    <row r="18" spans="4:20" x14ac:dyDescent="0.25">
      <c r="D18" s="8"/>
    </row>
    <row r="19" spans="4:20" x14ac:dyDescent="0.25">
      <c r="D19" s="8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3D0F-5D2C-499C-A433-F9267DBA9703}">
  <sheetPr codeName="sh_Chart"/>
  <dimension ref="A1:Z25"/>
  <sheetViews>
    <sheetView showGridLines="0" workbookViewId="0">
      <pane ySplit="1" topLeftCell="A8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2.42578125" customWidth="1"/>
    <col min="3" max="4" width="1.7109375" customWidth="1"/>
    <col min="5" max="5" width="19.42578125" customWidth="1"/>
    <col min="6" max="6" width="21.42578125" bestFit="1" customWidth="1"/>
    <col min="7" max="7" width="26.42578125" customWidth="1"/>
    <col min="8" max="8" width="19.85546875" customWidth="1"/>
    <col min="9" max="9" width="19.7109375" customWidth="1"/>
    <col min="12" max="12" width="3.7109375" customWidth="1"/>
    <col min="13" max="13" width="8.7109375" customWidth="1"/>
    <col min="14" max="14" width="21.42578125" customWidth="1"/>
    <col min="15" max="15" width="25.85546875" customWidth="1"/>
    <col min="16" max="16" width="3.7109375" customWidth="1"/>
    <col min="17" max="17" width="8.7109375" customWidth="1"/>
    <col min="18" max="18" width="17.7109375" customWidth="1"/>
    <col min="19" max="19" width="3.7109375" customWidth="1"/>
    <col min="20" max="20" width="9.85546875" customWidth="1"/>
    <col min="21" max="21" width="32.85546875" bestFit="1" customWidth="1"/>
    <col min="25" max="25" width="21.140625" customWidth="1"/>
    <col min="26" max="26" width="10.140625" bestFit="1" customWidth="1"/>
  </cols>
  <sheetData>
    <row r="1" spans="1:26" ht="26.1" customHeight="1" x14ac:dyDescent="0.3">
      <c r="A1" s="66" t="s">
        <v>172</v>
      </c>
      <c r="B1" s="15"/>
      <c r="M1" s="25" t="s">
        <v>28</v>
      </c>
      <c r="N1" s="19" t="s">
        <v>173</v>
      </c>
      <c r="O1" s="19" t="s">
        <v>175</v>
      </c>
      <c r="Q1" s="67" t="s">
        <v>28</v>
      </c>
      <c r="R1" s="68" t="s">
        <v>174</v>
      </c>
      <c r="T1" s="69" t="s">
        <v>28</v>
      </c>
      <c r="U1" s="70" t="s">
        <v>221</v>
      </c>
      <c r="Y1" s="21" t="s">
        <v>40</v>
      </c>
    </row>
    <row r="2" spans="1:26" ht="20.100000000000001" customHeight="1" x14ac:dyDescent="0.3">
      <c r="A2" s="60" t="s">
        <v>395</v>
      </c>
      <c r="M2" s="26">
        <v>51</v>
      </c>
      <c r="N2" s="27" t="s">
        <v>176</v>
      </c>
      <c r="O2" s="27" t="s">
        <v>177</v>
      </c>
      <c r="Q2" s="26">
        <v>0</v>
      </c>
      <c r="R2" s="27" t="s">
        <v>206</v>
      </c>
      <c r="S2" s="20"/>
      <c r="T2" s="26" t="b">
        <v>1</v>
      </c>
      <c r="U2" s="27" t="s">
        <v>224</v>
      </c>
      <c r="V2" s="20"/>
      <c r="Y2" s="20"/>
    </row>
    <row r="3" spans="1:26" ht="20.100000000000001" customHeight="1" x14ac:dyDescent="0.3">
      <c r="A3" s="13" t="s">
        <v>32</v>
      </c>
      <c r="B3" s="14"/>
      <c r="D3" s="8"/>
      <c r="E3" s="9" t="s">
        <v>34</v>
      </c>
      <c r="F3" s="10"/>
      <c r="G3" s="10"/>
      <c r="H3" s="10"/>
      <c r="I3" s="10"/>
      <c r="M3" s="28">
        <v>52</v>
      </c>
      <c r="N3" s="29" t="s">
        <v>178</v>
      </c>
      <c r="O3" s="29" t="s">
        <v>179</v>
      </c>
      <c r="Q3" s="28">
        <v>1</v>
      </c>
      <c r="R3" s="29" t="s">
        <v>207</v>
      </c>
      <c r="S3" s="20"/>
      <c r="T3" s="28" t="b">
        <v>0</v>
      </c>
      <c r="U3" s="29" t="s">
        <v>225</v>
      </c>
      <c r="V3" s="20"/>
      <c r="Y3" s="20"/>
    </row>
    <row r="4" spans="1:26" ht="20.100000000000001" customHeight="1" x14ac:dyDescent="0.25">
      <c r="D4" s="8"/>
      <c r="E4" s="72"/>
      <c r="F4" s="71" t="s">
        <v>203</v>
      </c>
      <c r="G4" s="71" t="s">
        <v>99</v>
      </c>
      <c r="H4" s="71" t="s">
        <v>202</v>
      </c>
      <c r="I4" s="71" t="s">
        <v>221</v>
      </c>
      <c r="M4" s="28">
        <v>53</v>
      </c>
      <c r="N4" s="29" t="s">
        <v>180</v>
      </c>
      <c r="O4" s="29" t="s">
        <v>181</v>
      </c>
      <c r="Q4" s="28">
        <v>2</v>
      </c>
      <c r="R4" s="29" t="s">
        <v>209</v>
      </c>
      <c r="S4" s="20"/>
      <c r="T4" s="28" t="s">
        <v>223</v>
      </c>
      <c r="U4" s="29" t="s">
        <v>226</v>
      </c>
      <c r="V4" s="20"/>
      <c r="Y4" s="20"/>
    </row>
    <row r="5" spans="1:26" ht="20.100000000000001" customHeight="1" thickBot="1" x14ac:dyDescent="0.35">
      <c r="A5" s="2" t="s">
        <v>33</v>
      </c>
      <c r="B5" s="7">
        <v>10</v>
      </c>
      <c r="D5" s="8"/>
      <c r="E5" s="31" t="s">
        <v>192</v>
      </c>
      <c r="F5" s="47"/>
      <c r="G5" s="47"/>
      <c r="H5" s="47"/>
      <c r="I5" s="47"/>
      <c r="M5" s="28">
        <v>57</v>
      </c>
      <c r="N5" s="29" t="s">
        <v>218</v>
      </c>
      <c r="O5" s="29" t="s">
        <v>215</v>
      </c>
      <c r="Q5" s="28">
        <v>3</v>
      </c>
      <c r="R5" s="29" t="s">
        <v>214</v>
      </c>
      <c r="S5" s="20"/>
      <c r="T5" s="20"/>
      <c r="U5" s="20"/>
      <c r="V5" s="20"/>
      <c r="Y5" s="30"/>
    </row>
    <row r="6" spans="1:26" ht="20.100000000000001" customHeight="1" thickTop="1" x14ac:dyDescent="0.3">
      <c r="D6" s="8"/>
      <c r="E6" s="31" t="s">
        <v>193</v>
      </c>
      <c r="F6" s="47"/>
      <c r="G6" s="47"/>
      <c r="H6" s="47"/>
      <c r="I6" s="47"/>
      <c r="M6" s="28">
        <v>58</v>
      </c>
      <c r="N6" s="29" t="s">
        <v>219</v>
      </c>
      <c r="O6" s="29" t="s">
        <v>216</v>
      </c>
      <c r="Q6" s="28">
        <v>4</v>
      </c>
      <c r="R6" s="29" t="s">
        <v>211</v>
      </c>
      <c r="S6" s="20"/>
      <c r="T6" s="20"/>
      <c r="U6" s="20"/>
      <c r="V6" s="20"/>
      <c r="Y6" s="30"/>
    </row>
    <row r="7" spans="1:26" ht="20.100000000000001" customHeight="1" x14ac:dyDescent="0.3">
      <c r="D7" s="8"/>
      <c r="E7" s="31" t="s">
        <v>194</v>
      </c>
      <c r="F7" s="47" t="s">
        <v>394</v>
      </c>
      <c r="G7" s="47" t="s">
        <v>393</v>
      </c>
      <c r="H7" s="47" t="s">
        <v>116</v>
      </c>
      <c r="I7" s="47" t="s">
        <v>222</v>
      </c>
      <c r="M7" s="28">
        <v>59</v>
      </c>
      <c r="N7" s="29" t="s">
        <v>220</v>
      </c>
      <c r="O7" s="29" t="s">
        <v>217</v>
      </c>
      <c r="Q7" s="28">
        <v>-4108</v>
      </c>
      <c r="R7" s="29" t="s">
        <v>210</v>
      </c>
      <c r="S7" s="20"/>
      <c r="T7" s="20"/>
      <c r="U7" s="20"/>
      <c r="V7" s="20"/>
      <c r="Y7" s="20"/>
    </row>
    <row r="8" spans="1:26" ht="20.100000000000001" customHeight="1" x14ac:dyDescent="0.3">
      <c r="D8" s="8"/>
      <c r="E8" s="31" t="s">
        <v>195</v>
      </c>
      <c r="F8" s="47"/>
      <c r="G8" s="47"/>
      <c r="H8" s="47"/>
      <c r="I8" s="47"/>
      <c r="M8" s="28">
        <v>5</v>
      </c>
      <c r="N8" s="29" t="s">
        <v>183</v>
      </c>
      <c r="O8" s="29" t="s">
        <v>185</v>
      </c>
      <c r="Q8" s="28"/>
      <c r="R8" s="29"/>
      <c r="S8" s="20"/>
      <c r="T8" s="20"/>
      <c r="U8" s="20"/>
      <c r="V8" s="20"/>
    </row>
    <row r="9" spans="1:26" ht="20.100000000000001" customHeight="1" x14ac:dyDescent="0.3">
      <c r="D9" s="8"/>
      <c r="E9" s="31" t="s">
        <v>196</v>
      </c>
      <c r="F9" s="47"/>
      <c r="G9" s="47"/>
      <c r="H9" s="47"/>
      <c r="I9" s="47"/>
      <c r="M9" s="28">
        <v>-4120</v>
      </c>
      <c r="N9" s="29" t="s">
        <v>213</v>
      </c>
      <c r="O9" s="29" t="s">
        <v>212</v>
      </c>
      <c r="Q9" s="28"/>
      <c r="R9" s="29"/>
    </row>
    <row r="10" spans="1:26" ht="20.100000000000001" customHeight="1" x14ac:dyDescent="0.3">
      <c r="D10" s="8"/>
      <c r="E10" s="31" t="s">
        <v>197</v>
      </c>
      <c r="F10" s="47"/>
      <c r="G10" s="47"/>
      <c r="H10" s="47"/>
      <c r="I10" s="47"/>
      <c r="M10" s="28">
        <v>4</v>
      </c>
      <c r="N10" s="29" t="s">
        <v>186</v>
      </c>
      <c r="O10" s="29" t="s">
        <v>187</v>
      </c>
      <c r="Q10" s="28"/>
      <c r="R10" s="29"/>
    </row>
    <row r="11" spans="1:26" ht="20.100000000000001" customHeight="1" x14ac:dyDescent="0.3">
      <c r="D11" s="8"/>
      <c r="E11" s="31" t="s">
        <v>198</v>
      </c>
      <c r="F11" s="47"/>
      <c r="G11" s="47"/>
      <c r="H11" s="47"/>
      <c r="I11" s="47"/>
      <c r="M11" s="28">
        <v>63</v>
      </c>
      <c r="N11" s="29" t="s">
        <v>188</v>
      </c>
      <c r="O11" s="29" t="s">
        <v>189</v>
      </c>
      <c r="Q11" s="28"/>
      <c r="R11" s="29"/>
    </row>
    <row r="12" spans="1:26" ht="20.100000000000001" customHeight="1" x14ac:dyDescent="0.3">
      <c r="D12" s="8"/>
      <c r="E12" s="31" t="s">
        <v>199</v>
      </c>
      <c r="F12" s="47"/>
      <c r="G12" s="47"/>
      <c r="H12" s="47"/>
      <c r="I12" s="47"/>
      <c r="M12" s="28">
        <v>65</v>
      </c>
      <c r="N12" s="29" t="s">
        <v>182</v>
      </c>
      <c r="O12" s="29" t="s">
        <v>184</v>
      </c>
      <c r="Q12" s="28"/>
      <c r="R12" s="29"/>
    </row>
    <row r="13" spans="1:26" ht="20.100000000000001" customHeight="1" x14ac:dyDescent="0.3">
      <c r="D13" s="8"/>
      <c r="E13" s="31" t="s">
        <v>200</v>
      </c>
      <c r="F13" s="47"/>
      <c r="G13" s="47"/>
      <c r="H13" s="47"/>
      <c r="I13" s="47"/>
      <c r="M13" s="28">
        <v>66</v>
      </c>
      <c r="N13" s="29" t="s">
        <v>208</v>
      </c>
      <c r="O13" s="29" t="s">
        <v>205</v>
      </c>
      <c r="Q13" s="28"/>
      <c r="R13" s="29"/>
    </row>
    <row r="14" spans="1:26" ht="20.100000000000001" customHeight="1" x14ac:dyDescent="0.3">
      <c r="D14" s="8"/>
      <c r="E14" s="31" t="s">
        <v>201</v>
      </c>
      <c r="F14" s="47"/>
      <c r="G14" s="47"/>
      <c r="H14" s="47"/>
      <c r="I14" s="47"/>
      <c r="M14" s="28">
        <v>-4169</v>
      </c>
      <c r="N14" s="29" t="s">
        <v>190</v>
      </c>
      <c r="O14" s="29" t="s">
        <v>191</v>
      </c>
      <c r="Q14" s="28"/>
      <c r="R14" s="29"/>
    </row>
    <row r="15" spans="1:26" ht="20.100000000000001" customHeight="1" x14ac:dyDescent="0.25">
      <c r="D15" s="8"/>
      <c r="M15" s="28">
        <v>123</v>
      </c>
      <c r="N15" s="29" t="s">
        <v>227</v>
      </c>
      <c r="O15" s="29" t="s">
        <v>228</v>
      </c>
    </row>
    <row r="16" spans="1:26" ht="20.100000000000001" customHeight="1" x14ac:dyDescent="0.25">
      <c r="D16" s="8"/>
      <c r="M16" s="28">
        <v>117</v>
      </c>
      <c r="N16" s="29" t="s">
        <v>231</v>
      </c>
      <c r="O16" s="29" t="s">
        <v>229</v>
      </c>
      <c r="Z16" s="46"/>
    </row>
    <row r="17" spans="1:26" ht="20.100000000000001" customHeight="1" x14ac:dyDescent="0.3">
      <c r="A17" s="60" t="s">
        <v>396</v>
      </c>
      <c r="M17" s="28">
        <v>119</v>
      </c>
      <c r="N17" s="29" t="s">
        <v>232</v>
      </c>
      <c r="O17" s="29" t="s">
        <v>230</v>
      </c>
      <c r="Z17" s="46"/>
    </row>
    <row r="18" spans="1:26" ht="20.100000000000001" customHeight="1" x14ac:dyDescent="0.3">
      <c r="A18" s="13" t="s">
        <v>32</v>
      </c>
      <c r="B18" s="14"/>
      <c r="D18" s="8"/>
      <c r="E18" s="9" t="s">
        <v>34</v>
      </c>
      <c r="F18" s="10"/>
      <c r="H18" s="91" t="s">
        <v>389</v>
      </c>
      <c r="I18" s="92">
        <f>IF(AND(F20=I20,F21=I21), 1, 0)</f>
        <v>0</v>
      </c>
      <c r="M18" s="28">
        <v>-4102</v>
      </c>
      <c r="N18" s="29"/>
      <c r="O18" s="29" t="s">
        <v>394</v>
      </c>
    </row>
    <row r="19" spans="1:26" ht="20.100000000000001" customHeight="1" x14ac:dyDescent="0.25">
      <c r="D19" s="8"/>
      <c r="M19" s="28"/>
      <c r="N19" s="29"/>
      <c r="O19" s="29"/>
    </row>
    <row r="20" spans="1:26" ht="20.100000000000001" customHeight="1" thickBot="1" x14ac:dyDescent="0.35">
      <c r="A20" s="2" t="s">
        <v>33</v>
      </c>
      <c r="B20" s="7">
        <v>10</v>
      </c>
      <c r="D20" s="8"/>
      <c r="E20" s="31" t="s">
        <v>203</v>
      </c>
      <c r="F20" s="47" t="s">
        <v>394</v>
      </c>
      <c r="H20" s="31" t="s">
        <v>203</v>
      </c>
      <c r="I20" s="47" t="s">
        <v>394</v>
      </c>
      <c r="M20" s="28"/>
      <c r="N20" s="29"/>
      <c r="O20" s="29"/>
    </row>
    <row r="21" spans="1:26" ht="20.100000000000001" customHeight="1" thickTop="1" x14ac:dyDescent="0.3">
      <c r="D21" s="8"/>
      <c r="E21" s="31" t="s">
        <v>398</v>
      </c>
      <c r="F21" s="47">
        <v>262</v>
      </c>
      <c r="H21" s="31" t="s">
        <v>398</v>
      </c>
      <c r="I21" s="47">
        <v>264</v>
      </c>
      <c r="M21" s="28"/>
      <c r="N21" s="29"/>
      <c r="O21" s="29"/>
    </row>
    <row r="22" spans="1:26" ht="20.100000000000001" customHeight="1" thickBot="1" x14ac:dyDescent="0.35">
      <c r="A22" s="2" t="s">
        <v>397</v>
      </c>
      <c r="B22" s="7" t="s">
        <v>194</v>
      </c>
      <c r="D22" s="8"/>
      <c r="E22" s="31" t="s">
        <v>99</v>
      </c>
      <c r="F22" s="47" t="s">
        <v>393</v>
      </c>
    </row>
    <row r="23" spans="1:26" ht="20.100000000000001" customHeight="1" thickTop="1" x14ac:dyDescent="0.3">
      <c r="D23" s="8"/>
      <c r="E23" s="31" t="s">
        <v>202</v>
      </c>
      <c r="F23" s="47" t="s">
        <v>204</v>
      </c>
    </row>
    <row r="24" spans="1:26" ht="18.75" x14ac:dyDescent="0.3">
      <c r="D24" s="8"/>
      <c r="E24" s="31" t="s">
        <v>221</v>
      </c>
      <c r="F24" s="47" t="s">
        <v>222</v>
      </c>
    </row>
    <row r="25" spans="1:26" x14ac:dyDescent="0.25">
      <c r="D25" s="8"/>
    </row>
  </sheetData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4FC54-73C4-4019-9832-BBDEE2793F3C}">
  <sheetPr codeName="sh_Table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6.5703125" customWidth="1"/>
    <col min="6" max="6" width="19.42578125" customWidth="1"/>
    <col min="9" max="9" width="14.42578125" customWidth="1"/>
    <col min="10" max="10" width="11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233</v>
      </c>
      <c r="B1" s="15"/>
      <c r="M1" s="21" t="s">
        <v>40</v>
      </c>
    </row>
    <row r="2" spans="1:14" ht="20.100000000000001" customHeight="1" x14ac:dyDescent="0.25"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I3" s="55"/>
      <c r="J3" s="55"/>
      <c r="M3" s="20"/>
    </row>
    <row r="4" spans="1:14" ht="20.100000000000001" customHeight="1" x14ac:dyDescent="0.25">
      <c r="D4" s="8"/>
      <c r="I4" s="56"/>
      <c r="J4" s="58"/>
      <c r="M4" s="20"/>
    </row>
    <row r="5" spans="1:14" ht="20.100000000000001" customHeight="1" thickBot="1" x14ac:dyDescent="0.35">
      <c r="A5" s="2" t="s">
        <v>33</v>
      </c>
      <c r="B5" s="7">
        <v>8</v>
      </c>
      <c r="D5" s="8"/>
      <c r="E5" s="31" t="s">
        <v>234</v>
      </c>
      <c r="F5" s="47">
        <v>3</v>
      </c>
      <c r="I5" s="57"/>
      <c r="J5" s="59"/>
      <c r="M5" s="30"/>
    </row>
    <row r="6" spans="1:14" ht="20.100000000000001" customHeight="1" thickTop="1" x14ac:dyDescent="0.3">
      <c r="D6" s="8"/>
      <c r="E6" s="31" t="s">
        <v>235</v>
      </c>
      <c r="F6" s="47">
        <v>5</v>
      </c>
      <c r="I6" s="57"/>
      <c r="J6" s="59"/>
      <c r="M6" s="30"/>
    </row>
    <row r="7" spans="1:14" ht="20.100000000000001" customHeight="1" x14ac:dyDescent="0.3">
      <c r="D7" s="8"/>
      <c r="E7" s="31" t="s">
        <v>238</v>
      </c>
      <c r="F7" s="47" t="s">
        <v>28</v>
      </c>
      <c r="I7" s="57"/>
      <c r="J7" s="59"/>
      <c r="M7" s="20"/>
    </row>
    <row r="8" spans="1:14" ht="20.100000000000001" customHeight="1" x14ac:dyDescent="0.3">
      <c r="D8" s="8"/>
      <c r="E8" s="31" t="s">
        <v>239</v>
      </c>
      <c r="F8" s="47" t="s">
        <v>236</v>
      </c>
    </row>
    <row r="9" spans="1:14" ht="20.100000000000001" customHeight="1" x14ac:dyDescent="0.3">
      <c r="D9" s="8"/>
      <c r="E9" s="31" t="s">
        <v>240</v>
      </c>
      <c r="F9" s="47" t="s">
        <v>237</v>
      </c>
    </row>
    <row r="10" spans="1:14" ht="20.100000000000001" customHeight="1" x14ac:dyDescent="0.3">
      <c r="D10" s="8"/>
      <c r="E10" s="31" t="s">
        <v>241</v>
      </c>
      <c r="F10" s="47"/>
    </row>
    <row r="11" spans="1:14" ht="20.100000000000001" customHeight="1" x14ac:dyDescent="0.3">
      <c r="D11" s="8"/>
      <c r="E11" s="31" t="s">
        <v>242</v>
      </c>
      <c r="F11" s="47"/>
    </row>
    <row r="12" spans="1:14" ht="18.75" x14ac:dyDescent="0.3">
      <c r="D12" s="8"/>
      <c r="E12" s="31"/>
      <c r="F12" s="47"/>
    </row>
    <row r="13" spans="1:14" ht="18.75" x14ac:dyDescent="0.3">
      <c r="D13" s="8"/>
      <c r="E13" s="31"/>
      <c r="F13" s="47"/>
    </row>
    <row r="14" spans="1:14" x14ac:dyDescent="0.25">
      <c r="D14" s="8"/>
    </row>
    <row r="15" spans="1:14" x14ac:dyDescent="0.25">
      <c r="D15" s="8"/>
    </row>
    <row r="16" spans="1:14" x14ac:dyDescent="0.25">
      <c r="D16" s="8"/>
      <c r="N16" s="46"/>
    </row>
    <row r="17" spans="4:14" x14ac:dyDescent="0.25">
      <c r="D17" s="8"/>
      <c r="N17" s="46"/>
    </row>
    <row r="18" spans="4:14" x14ac:dyDescent="0.25">
      <c r="D18" s="8"/>
    </row>
    <row r="19" spans="4:14" x14ac:dyDescent="0.25">
      <c r="D19" s="8"/>
    </row>
  </sheetData>
  <phoneticPr fontId="2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DC7B-0FA0-4301-A7F3-4D3D44CC96F7}">
  <sheetPr codeName="sh_3DModel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8.42578125" customWidth="1"/>
    <col min="6" max="6" width="19.42578125" customWidth="1"/>
    <col min="9" max="9" width="14.42578125" customWidth="1"/>
    <col min="10" max="10" width="11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243</v>
      </c>
      <c r="B1" s="15"/>
      <c r="M1" s="21" t="s">
        <v>40</v>
      </c>
    </row>
    <row r="2" spans="1:14" ht="20.100000000000001" customHeight="1" x14ac:dyDescent="0.25"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M3" s="20"/>
    </row>
    <row r="4" spans="1:14" ht="20.100000000000001" customHeight="1" x14ac:dyDescent="0.25">
      <c r="D4" s="8"/>
      <c r="M4" s="20"/>
    </row>
    <row r="5" spans="1:14" ht="20.100000000000001" customHeight="1" thickBot="1" x14ac:dyDescent="0.35">
      <c r="A5" s="2" t="s">
        <v>33</v>
      </c>
      <c r="B5" s="7">
        <v>3</v>
      </c>
      <c r="D5" s="8"/>
      <c r="E5" s="31" t="s">
        <v>253</v>
      </c>
      <c r="F5" s="47" t="b">
        <v>1</v>
      </c>
      <c r="M5" s="30"/>
    </row>
    <row r="6" spans="1:14" ht="20.100000000000001" customHeight="1" thickTop="1" x14ac:dyDescent="0.3">
      <c r="D6" s="8"/>
      <c r="E6" s="31" t="s">
        <v>0</v>
      </c>
      <c r="F6" s="47" t="s">
        <v>252</v>
      </c>
      <c r="M6" s="30"/>
    </row>
    <row r="7" spans="1:14" ht="20.100000000000001" customHeight="1" x14ac:dyDescent="0.3">
      <c r="D7" s="8"/>
      <c r="E7" s="73" t="s">
        <v>244</v>
      </c>
      <c r="F7" s="74"/>
      <c r="M7" s="20"/>
    </row>
    <row r="8" spans="1:14" ht="20.100000000000001" customHeight="1" x14ac:dyDescent="0.3">
      <c r="D8" s="8"/>
      <c r="E8" s="31" t="s">
        <v>245</v>
      </c>
      <c r="F8" s="47">
        <v>184.88992309570313</v>
      </c>
    </row>
    <row r="9" spans="1:14" ht="20.100000000000001" customHeight="1" x14ac:dyDescent="0.3">
      <c r="D9" s="8"/>
      <c r="E9" s="31" t="s">
        <v>246</v>
      </c>
      <c r="F9" s="47">
        <v>123.50944519042969</v>
      </c>
    </row>
    <row r="10" spans="1:14" ht="20.100000000000001" customHeight="1" x14ac:dyDescent="0.3">
      <c r="D10" s="8"/>
      <c r="E10" s="73" t="s">
        <v>247</v>
      </c>
      <c r="F10" s="74"/>
    </row>
    <row r="11" spans="1:14" ht="20.100000000000001" customHeight="1" x14ac:dyDescent="0.3">
      <c r="D11" s="8"/>
      <c r="E11" s="31" t="s">
        <v>113</v>
      </c>
      <c r="F11" s="47">
        <v>347.0548095703125</v>
      </c>
    </row>
    <row r="12" spans="1:14" ht="18.75" x14ac:dyDescent="0.3">
      <c r="D12" s="8"/>
      <c r="E12" s="31" t="s">
        <v>114</v>
      </c>
      <c r="F12" s="47">
        <v>8.7450389862060547</v>
      </c>
    </row>
    <row r="13" spans="1:14" ht="18.75" x14ac:dyDescent="0.3">
      <c r="D13" s="8"/>
      <c r="E13" s="73" t="s">
        <v>248</v>
      </c>
      <c r="F13" s="74"/>
    </row>
    <row r="14" spans="1:14" ht="18.75" x14ac:dyDescent="0.3">
      <c r="D14" s="8"/>
      <c r="E14" s="31" t="s">
        <v>249</v>
      </c>
      <c r="F14" s="47">
        <v>20</v>
      </c>
    </row>
    <row r="15" spans="1:14" ht="18.75" x14ac:dyDescent="0.3">
      <c r="D15" s="8"/>
      <c r="E15" s="31" t="s">
        <v>250</v>
      </c>
      <c r="F15" s="47">
        <v>30</v>
      </c>
    </row>
    <row r="16" spans="1:14" ht="18.75" x14ac:dyDescent="0.3">
      <c r="D16" s="8"/>
      <c r="E16" s="31" t="s">
        <v>251</v>
      </c>
      <c r="F16" s="47">
        <v>10</v>
      </c>
      <c r="N16" s="46"/>
    </row>
    <row r="17" spans="4:14" x14ac:dyDescent="0.25">
      <c r="D17" s="8"/>
      <c r="N17" s="46"/>
    </row>
    <row r="18" spans="4:14" x14ac:dyDescent="0.25">
      <c r="D18" s="8"/>
    </row>
    <row r="19" spans="4:14" x14ac:dyDescent="0.25">
      <c r="D19" s="8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7E7E2-99F3-45BA-BA1A-E7ED5CCC0791}">
  <sheetPr codeName="sh_Link"/>
  <dimension ref="A1:N19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6.7109375" customWidth="1"/>
    <col min="6" max="6" width="23.42578125" customWidth="1"/>
    <col min="9" max="9" width="14.42578125" customWidth="1"/>
    <col min="10" max="10" width="11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427</v>
      </c>
      <c r="B1" s="15"/>
      <c r="M1" s="21" t="s">
        <v>40</v>
      </c>
    </row>
    <row r="2" spans="1:14" ht="20.100000000000001" customHeight="1" x14ac:dyDescent="0.3">
      <c r="A2" s="60" t="s">
        <v>310</v>
      </c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M3" s="20"/>
    </row>
    <row r="4" spans="1:14" ht="20.100000000000001" customHeight="1" x14ac:dyDescent="0.25">
      <c r="D4" s="8"/>
      <c r="M4" s="20"/>
    </row>
    <row r="5" spans="1:14" ht="20.100000000000001" customHeight="1" thickBot="1" x14ac:dyDescent="0.35">
      <c r="A5" s="2" t="s">
        <v>33</v>
      </c>
      <c r="B5" s="7">
        <v>6</v>
      </c>
      <c r="D5" s="8"/>
      <c r="E5" s="31" t="s">
        <v>253</v>
      </c>
      <c r="F5" s="47" t="s">
        <v>313</v>
      </c>
      <c r="M5" s="30"/>
    </row>
    <row r="6" spans="1:14" ht="20.100000000000001" customHeight="1" thickTop="1" x14ac:dyDescent="0.3">
      <c r="D6" s="8"/>
      <c r="E6" s="31" t="s">
        <v>312</v>
      </c>
      <c r="F6" s="47"/>
      <c r="M6" s="30"/>
    </row>
    <row r="7" spans="1:14" ht="20.100000000000001" customHeight="1" thickBot="1" x14ac:dyDescent="0.35">
      <c r="A7" s="2" t="s">
        <v>311</v>
      </c>
      <c r="B7" s="7">
        <v>4</v>
      </c>
      <c r="D7" s="8"/>
      <c r="E7" s="31" t="s">
        <v>315</v>
      </c>
      <c r="F7" s="47" t="s">
        <v>316</v>
      </c>
      <c r="G7" s="2" t="s">
        <v>314</v>
      </c>
      <c r="M7" s="20"/>
    </row>
    <row r="8" spans="1:14" ht="20.100000000000001" customHeight="1" thickTop="1" x14ac:dyDescent="0.3">
      <c r="D8" s="8"/>
      <c r="E8" s="2"/>
      <c r="F8" s="2"/>
    </row>
    <row r="9" spans="1:14" ht="20.100000000000001" customHeight="1" x14ac:dyDescent="0.3">
      <c r="D9" s="8"/>
      <c r="E9" s="2"/>
      <c r="F9" s="2"/>
    </row>
    <row r="10" spans="1:14" ht="20.100000000000001" customHeight="1" x14ac:dyDescent="0.3">
      <c r="D10" s="8"/>
      <c r="E10" s="2"/>
      <c r="F10" s="2"/>
    </row>
    <row r="11" spans="1:14" ht="20.100000000000001" customHeight="1" x14ac:dyDescent="0.3">
      <c r="D11" s="8"/>
      <c r="E11" s="2"/>
      <c r="F11" s="2"/>
    </row>
    <row r="12" spans="1:14" ht="18.75" x14ac:dyDescent="0.3">
      <c r="D12" s="8"/>
      <c r="E12" s="2"/>
      <c r="F12" s="2"/>
    </row>
    <row r="13" spans="1:14" ht="18.75" x14ac:dyDescent="0.3">
      <c r="D13" s="8"/>
      <c r="E13" s="2"/>
      <c r="F13" s="2"/>
    </row>
    <row r="14" spans="1:14" ht="20.100000000000001" customHeight="1" x14ac:dyDescent="0.3">
      <c r="A14" s="60" t="s">
        <v>426</v>
      </c>
    </row>
    <row r="15" spans="1:14" ht="18.75" x14ac:dyDescent="0.3">
      <c r="A15" s="13" t="s">
        <v>32</v>
      </c>
      <c r="B15" s="14"/>
      <c r="D15" s="8"/>
      <c r="E15" s="9" t="s">
        <v>34</v>
      </c>
      <c r="F15" s="10"/>
    </row>
    <row r="16" spans="1:14" x14ac:dyDescent="0.25">
      <c r="D16" s="8"/>
      <c r="N16" s="46"/>
    </row>
    <row r="17" spans="1:14" ht="19.5" thickBot="1" x14ac:dyDescent="0.35">
      <c r="A17" s="2" t="s">
        <v>33</v>
      </c>
      <c r="B17" s="7">
        <v>3</v>
      </c>
      <c r="D17" s="8"/>
      <c r="E17" s="31" t="s">
        <v>428</v>
      </c>
      <c r="F17" s="47" t="s">
        <v>430</v>
      </c>
      <c r="N17" s="46"/>
    </row>
    <row r="18" spans="1:14" ht="19.5" thickTop="1" x14ac:dyDescent="0.3">
      <c r="D18" s="8"/>
      <c r="E18" s="31" t="s">
        <v>112</v>
      </c>
      <c r="F18" s="47" t="s">
        <v>431</v>
      </c>
    </row>
    <row r="19" spans="1:14" ht="18.75" x14ac:dyDescent="0.3">
      <c r="D19" s="8"/>
      <c r="E19" s="31" t="s">
        <v>429</v>
      </c>
      <c r="F19" s="105">
        <v>46030.598194444443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FBD7-7D87-4DD7-A828-59583751F154}">
  <sheetPr codeName="sh_Media"/>
  <dimension ref="A1:N20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24.42578125" customWidth="1"/>
    <col min="6" max="6" width="19.42578125" customWidth="1"/>
    <col min="9" max="9" width="14.42578125" customWidth="1"/>
    <col min="10" max="10" width="11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317</v>
      </c>
      <c r="B1" s="15"/>
      <c r="M1" s="21" t="s">
        <v>40</v>
      </c>
    </row>
    <row r="2" spans="1:14" ht="20.100000000000001" customHeight="1" x14ac:dyDescent="0.3">
      <c r="A2" s="60"/>
      <c r="M2" s="20"/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M3" s="20"/>
    </row>
    <row r="4" spans="1:14" ht="20.100000000000001" customHeight="1" x14ac:dyDescent="0.25">
      <c r="D4" s="8"/>
      <c r="M4" s="20"/>
    </row>
    <row r="5" spans="1:14" ht="20.100000000000001" customHeight="1" thickBot="1" x14ac:dyDescent="0.35">
      <c r="A5" s="2" t="s">
        <v>33</v>
      </c>
      <c r="B5" s="7">
        <v>10</v>
      </c>
      <c r="D5" s="8"/>
      <c r="E5" s="31" t="s">
        <v>320</v>
      </c>
      <c r="F5" s="47" t="s">
        <v>329</v>
      </c>
      <c r="G5" s="2"/>
      <c r="M5" s="30"/>
    </row>
    <row r="6" spans="1:14" ht="20.100000000000001" customHeight="1" thickTop="1" x14ac:dyDescent="0.3">
      <c r="D6" s="8"/>
      <c r="E6" s="31" t="s">
        <v>327</v>
      </c>
      <c r="F6" s="47">
        <v>2</v>
      </c>
      <c r="G6" s="2" t="s">
        <v>328</v>
      </c>
      <c r="M6" s="30"/>
    </row>
    <row r="7" spans="1:14" ht="20.100000000000001" customHeight="1" thickBot="1" x14ac:dyDescent="0.35">
      <c r="A7" s="2" t="s">
        <v>311</v>
      </c>
      <c r="B7" s="7">
        <v>2</v>
      </c>
      <c r="D7" s="8"/>
      <c r="E7" s="31" t="s">
        <v>318</v>
      </c>
      <c r="F7" s="80">
        <v>0.14166666666666666</v>
      </c>
      <c r="G7" s="2"/>
      <c r="M7" s="20"/>
    </row>
    <row r="8" spans="1:14" ht="20.100000000000001" customHeight="1" thickTop="1" x14ac:dyDescent="0.3">
      <c r="D8" s="8"/>
      <c r="E8" s="31" t="s">
        <v>319</v>
      </c>
      <c r="F8" s="81">
        <v>0.8</v>
      </c>
      <c r="G8" s="2"/>
    </row>
    <row r="9" spans="1:14" ht="20.100000000000001" customHeight="1" x14ac:dyDescent="0.3">
      <c r="D9" s="8"/>
      <c r="E9" s="31" t="s">
        <v>321</v>
      </c>
      <c r="F9" s="47">
        <v>-1</v>
      </c>
      <c r="G9" s="2" t="s">
        <v>323</v>
      </c>
    </row>
    <row r="10" spans="1:14" ht="20.100000000000001" customHeight="1" x14ac:dyDescent="0.3">
      <c r="D10" s="8"/>
      <c r="E10" s="31" t="s">
        <v>322</v>
      </c>
      <c r="F10" s="47">
        <v>-1</v>
      </c>
      <c r="G10" s="2" t="s">
        <v>323</v>
      </c>
    </row>
    <row r="11" spans="1:14" ht="20.100000000000001" customHeight="1" x14ac:dyDescent="0.3">
      <c r="D11" s="8"/>
      <c r="E11" s="31" t="s">
        <v>324</v>
      </c>
      <c r="F11" s="47">
        <v>0</v>
      </c>
      <c r="G11" s="2" t="s">
        <v>326</v>
      </c>
    </row>
    <row r="12" spans="1:14" ht="18.75" x14ac:dyDescent="0.3">
      <c r="D12" s="8"/>
      <c r="E12" s="31" t="s">
        <v>325</v>
      </c>
      <c r="F12" s="47">
        <v>-1</v>
      </c>
      <c r="G12" s="2" t="s">
        <v>323</v>
      </c>
    </row>
    <row r="13" spans="1:14" ht="18.75" x14ac:dyDescent="0.3">
      <c r="D13" s="8"/>
      <c r="E13" s="31"/>
      <c r="F13" s="47" t="s">
        <v>307</v>
      </c>
    </row>
    <row r="14" spans="1:14" ht="18.75" x14ac:dyDescent="0.3">
      <c r="D14" s="8"/>
      <c r="E14" s="31"/>
      <c r="F14" s="47" t="s">
        <v>307</v>
      </c>
    </row>
    <row r="15" spans="1:14" ht="18.75" x14ac:dyDescent="0.3">
      <c r="D15" s="8"/>
      <c r="E15" s="31"/>
      <c r="F15" s="47" t="s">
        <v>307</v>
      </c>
    </row>
    <row r="16" spans="1:14" ht="18.75" x14ac:dyDescent="0.3">
      <c r="D16" s="8"/>
      <c r="E16" s="31"/>
      <c r="F16" s="47" t="s">
        <v>307</v>
      </c>
      <c r="N16" s="46"/>
    </row>
    <row r="17" spans="4:14" ht="18.75" x14ac:dyDescent="0.3">
      <c r="D17" s="8"/>
      <c r="E17" s="31"/>
      <c r="F17" s="47" t="s">
        <v>307</v>
      </c>
      <c r="N17" s="46"/>
    </row>
    <row r="18" spans="4:14" ht="18.75" x14ac:dyDescent="0.3">
      <c r="D18" s="8"/>
      <c r="E18" s="31"/>
      <c r="F18" s="47" t="s">
        <v>307</v>
      </c>
    </row>
    <row r="19" spans="4:14" ht="18.75" x14ac:dyDescent="0.3">
      <c r="D19" s="8"/>
      <c r="E19" s="31"/>
      <c r="F19" s="47" t="s">
        <v>307</v>
      </c>
    </row>
    <row r="20" spans="4:14" ht="18.75" x14ac:dyDescent="0.3">
      <c r="D20" s="8"/>
      <c r="E20" s="31"/>
      <c r="F20" s="47" t="s">
        <v>307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171EC-C65E-4A11-B538-D0BF0D2254A8}">
  <sheetPr codeName="sh_Footer"/>
  <dimension ref="A1:N23"/>
  <sheetViews>
    <sheetView showGridLines="0" workbookViewId="0">
      <pane ySplit="1" topLeftCell="A2" activePane="bottomLeft" state="frozen"/>
      <selection activeCell="J171" sqref="J171"/>
      <selection pane="bottomLeft" activeCell="J171" sqref="J171"/>
    </sheetView>
  </sheetViews>
  <sheetFormatPr defaultRowHeight="15" x14ac:dyDescent="0.25"/>
  <cols>
    <col min="1" max="1" width="16.7109375" customWidth="1"/>
    <col min="2" max="2" width="10.7109375" customWidth="1"/>
    <col min="3" max="4" width="1.7109375" customWidth="1"/>
    <col min="5" max="5" width="10.42578125" customWidth="1"/>
    <col min="6" max="6" width="14.5703125" customWidth="1"/>
    <col min="7" max="7" width="16.42578125" customWidth="1"/>
    <col min="8" max="8" width="12.85546875" customWidth="1"/>
    <col min="9" max="9" width="14.5703125" customWidth="1"/>
    <col min="10" max="10" width="15.85546875" customWidth="1"/>
    <col min="13" max="13" width="21.140625" customWidth="1"/>
    <col min="14" max="14" width="10.140625" bestFit="1" customWidth="1"/>
  </cols>
  <sheetData>
    <row r="1" spans="1:14" ht="26.1" customHeight="1" x14ac:dyDescent="0.3">
      <c r="A1" s="66" t="s">
        <v>331</v>
      </c>
      <c r="B1" s="15"/>
      <c r="M1" s="21" t="s">
        <v>40</v>
      </c>
    </row>
    <row r="2" spans="1:14" ht="20.100000000000001" customHeight="1" x14ac:dyDescent="0.3">
      <c r="A2" s="60" t="s">
        <v>343</v>
      </c>
      <c r="M2" s="20" t="s">
        <v>340</v>
      </c>
    </row>
    <row r="3" spans="1:14" ht="20.100000000000001" customHeight="1" x14ac:dyDescent="0.3">
      <c r="A3" s="13" t="s">
        <v>32</v>
      </c>
      <c r="B3" s="14"/>
      <c r="D3" s="8"/>
      <c r="E3" s="9" t="s">
        <v>34</v>
      </c>
      <c r="F3" s="10"/>
      <c r="G3" s="10"/>
      <c r="H3" s="10"/>
      <c r="I3" s="10"/>
      <c r="M3" s="20" t="s">
        <v>341</v>
      </c>
    </row>
    <row r="4" spans="1:14" ht="20.100000000000001" customHeight="1" x14ac:dyDescent="0.25">
      <c r="D4" s="8"/>
      <c r="E4" s="83" t="s">
        <v>26</v>
      </c>
      <c r="F4" s="83" t="s">
        <v>333</v>
      </c>
      <c r="G4" s="83" t="s">
        <v>332</v>
      </c>
      <c r="H4" s="83" t="s">
        <v>336</v>
      </c>
      <c r="I4" s="83" t="s">
        <v>335</v>
      </c>
      <c r="J4" s="85"/>
      <c r="M4" s="30" t="s">
        <v>336</v>
      </c>
      <c r="N4" s="85" t="s">
        <v>339</v>
      </c>
    </row>
    <row r="5" spans="1:14" ht="20.100000000000001" customHeight="1" x14ac:dyDescent="0.3">
      <c r="A5" s="2"/>
      <c r="B5" s="86"/>
      <c r="D5" s="8"/>
      <c r="E5" s="84">
        <v>1</v>
      </c>
      <c r="F5" s="47" t="s">
        <v>337</v>
      </c>
      <c r="G5" s="47" t="s">
        <v>307</v>
      </c>
      <c r="H5" s="47">
        <v>0</v>
      </c>
      <c r="I5" s="47">
        <v>0</v>
      </c>
      <c r="J5" s="85"/>
      <c r="M5" s="30" t="s">
        <v>342</v>
      </c>
    </row>
    <row r="6" spans="1:14" ht="20.100000000000001" customHeight="1" x14ac:dyDescent="0.3">
      <c r="D6" s="8"/>
      <c r="E6" s="84">
        <v>2</v>
      </c>
      <c r="F6" s="47" t="s">
        <v>338</v>
      </c>
      <c r="G6" s="47" t="s">
        <v>334</v>
      </c>
      <c r="H6" s="47">
        <v>0</v>
      </c>
      <c r="I6" s="47">
        <v>-1</v>
      </c>
      <c r="J6" s="85"/>
      <c r="M6" s="30" t="s">
        <v>335</v>
      </c>
    </row>
    <row r="7" spans="1:14" ht="20.100000000000001" customHeight="1" x14ac:dyDescent="0.3">
      <c r="A7" s="2"/>
      <c r="B7" s="86"/>
      <c r="D7" s="8"/>
      <c r="E7" s="84">
        <v>3</v>
      </c>
      <c r="F7" s="47" t="s">
        <v>337</v>
      </c>
      <c r="G7" s="47" t="s">
        <v>307</v>
      </c>
      <c r="H7" s="47">
        <v>-1</v>
      </c>
      <c r="I7" s="47">
        <v>-1</v>
      </c>
      <c r="J7" s="85"/>
      <c r="M7" s="20"/>
    </row>
    <row r="8" spans="1:14" ht="20.100000000000001" customHeight="1" x14ac:dyDescent="0.3">
      <c r="D8" s="8"/>
      <c r="E8" s="84">
        <v>4</v>
      </c>
      <c r="F8" s="82" t="s">
        <v>338</v>
      </c>
      <c r="G8" s="82" t="s">
        <v>334</v>
      </c>
      <c r="H8" s="82">
        <v>-1</v>
      </c>
      <c r="I8" s="82">
        <v>0</v>
      </c>
      <c r="J8" s="85"/>
    </row>
    <row r="9" spans="1:14" ht="20.100000000000001" customHeight="1" x14ac:dyDescent="0.3">
      <c r="D9" s="8"/>
      <c r="E9" s="84">
        <v>5</v>
      </c>
      <c r="F9" s="47" t="s">
        <v>338</v>
      </c>
      <c r="G9" s="47" t="s">
        <v>334</v>
      </c>
      <c r="H9" s="47">
        <v>-1</v>
      </c>
      <c r="I9" s="47">
        <v>-1</v>
      </c>
      <c r="J9" s="85"/>
    </row>
    <row r="10" spans="1:14" ht="20.100000000000001" customHeight="1" x14ac:dyDescent="0.3">
      <c r="D10" s="8"/>
      <c r="E10" s="84"/>
      <c r="F10" s="47"/>
      <c r="G10" s="47"/>
      <c r="H10" s="47"/>
      <c r="I10" s="47"/>
      <c r="J10" s="85"/>
    </row>
    <row r="11" spans="1:14" ht="20.100000000000001" customHeight="1" x14ac:dyDescent="0.3">
      <c r="D11" s="8"/>
      <c r="E11" s="84"/>
      <c r="F11" s="47"/>
      <c r="G11" s="47"/>
      <c r="H11" s="47"/>
      <c r="I11" s="47"/>
      <c r="J11" s="85"/>
    </row>
    <row r="12" spans="1:14" ht="20.100000000000001" customHeight="1" x14ac:dyDescent="0.3">
      <c r="D12" s="8"/>
      <c r="E12" s="84"/>
      <c r="F12" s="47"/>
      <c r="G12" s="47"/>
      <c r="H12" s="47"/>
      <c r="I12" s="47"/>
      <c r="J12" s="85"/>
    </row>
    <row r="13" spans="1:14" ht="20.100000000000001" customHeight="1" x14ac:dyDescent="0.3">
      <c r="D13" s="8"/>
      <c r="E13" s="84"/>
      <c r="F13" s="47"/>
      <c r="G13" s="47"/>
      <c r="H13" s="47"/>
      <c r="I13" s="47"/>
      <c r="J13" s="85"/>
    </row>
    <row r="14" spans="1:14" ht="20.100000000000001" customHeight="1" x14ac:dyDescent="0.3">
      <c r="D14" s="8"/>
      <c r="E14" s="84"/>
      <c r="F14" s="47"/>
      <c r="G14" s="47"/>
      <c r="H14" s="47"/>
      <c r="I14" s="47"/>
      <c r="J14" s="85"/>
    </row>
    <row r="15" spans="1:14" ht="20.100000000000001" customHeight="1" x14ac:dyDescent="0.25">
      <c r="J15" s="85"/>
    </row>
    <row r="16" spans="1:14" ht="20.100000000000001" customHeight="1" x14ac:dyDescent="0.3">
      <c r="A16" s="60" t="s">
        <v>344</v>
      </c>
      <c r="J16" s="85"/>
    </row>
    <row r="17" spans="1:14" ht="20.100000000000001" customHeight="1" x14ac:dyDescent="0.3">
      <c r="A17" s="13" t="s">
        <v>32</v>
      </c>
      <c r="B17" s="14"/>
      <c r="D17" s="8"/>
      <c r="E17" s="9" t="s">
        <v>34</v>
      </c>
      <c r="F17" s="10"/>
      <c r="G17" s="10"/>
      <c r="H17" s="10"/>
      <c r="I17" s="10"/>
      <c r="J17" s="85"/>
      <c r="N17" s="46"/>
    </row>
    <row r="18" spans="1:14" ht="20.100000000000001" customHeight="1" x14ac:dyDescent="0.25">
      <c r="D18" s="8"/>
      <c r="E18" s="83" t="s">
        <v>26</v>
      </c>
      <c r="F18" s="83" t="s">
        <v>333</v>
      </c>
      <c r="G18" s="83" t="s">
        <v>332</v>
      </c>
      <c r="H18" s="83" t="s">
        <v>336</v>
      </c>
      <c r="I18" s="83" t="s">
        <v>335</v>
      </c>
      <c r="J18" s="85"/>
      <c r="N18" s="46"/>
    </row>
    <row r="19" spans="1:14" ht="20.100000000000001" customHeight="1" thickBot="1" x14ac:dyDescent="0.35">
      <c r="A19" s="2" t="s">
        <v>33</v>
      </c>
      <c r="B19" s="7">
        <v>2</v>
      </c>
      <c r="D19" s="8"/>
      <c r="E19" s="84">
        <v>2</v>
      </c>
      <c r="F19" s="47" t="s">
        <v>338</v>
      </c>
      <c r="G19" s="47" t="s">
        <v>334</v>
      </c>
      <c r="H19" s="47">
        <v>0</v>
      </c>
      <c r="I19" s="47">
        <v>-1</v>
      </c>
      <c r="J19" s="85"/>
    </row>
    <row r="20" spans="1:14" ht="20.100000000000001" customHeight="1" thickTop="1" x14ac:dyDescent="0.25"/>
    <row r="21" spans="1:14" ht="20.100000000000001" customHeight="1" x14ac:dyDescent="0.25"/>
    <row r="22" spans="1:14" ht="20.100000000000001" customHeight="1" x14ac:dyDescent="0.25"/>
    <row r="23" spans="1:14" ht="20.100000000000001" customHeight="1" x14ac:dyDescent="0.25"/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9966D-0DB1-4129-8BB5-7729418BC470}">
  <sheetPr codeName="Sheet2"/>
  <dimension ref="A1:E14"/>
  <sheetViews>
    <sheetView workbookViewId="0">
      <selection activeCell="D18" sqref="D18"/>
    </sheetView>
  </sheetViews>
  <sheetFormatPr defaultRowHeight="15" x14ac:dyDescent="0.25"/>
  <sheetData>
    <row r="1" spans="1:5" x14ac:dyDescent="0.25">
      <c r="A1" t="s">
        <v>447</v>
      </c>
      <c r="D1" t="s">
        <v>461</v>
      </c>
      <c r="E1" t="s">
        <v>462</v>
      </c>
    </row>
    <row r="2" spans="1:5" x14ac:dyDescent="0.25">
      <c r="A2" t="s">
        <v>448</v>
      </c>
      <c r="D2">
        <v>106</v>
      </c>
      <c r="E2" t="s">
        <v>463</v>
      </c>
    </row>
    <row r="3" spans="1:5" x14ac:dyDescent="0.25">
      <c r="A3" t="s">
        <v>449</v>
      </c>
    </row>
    <row r="4" spans="1:5" x14ac:dyDescent="0.25">
      <c r="A4" t="s">
        <v>450</v>
      </c>
    </row>
    <row r="5" spans="1:5" x14ac:dyDescent="0.25">
      <c r="A5" t="s">
        <v>451</v>
      </c>
    </row>
    <row r="6" spans="1:5" x14ac:dyDescent="0.25">
      <c r="A6" t="s">
        <v>452</v>
      </c>
    </row>
    <row r="7" spans="1:5" x14ac:dyDescent="0.25">
      <c r="A7" t="s">
        <v>453</v>
      </c>
    </row>
    <row r="8" spans="1:5" x14ac:dyDescent="0.25">
      <c r="A8" t="s">
        <v>454</v>
      </c>
    </row>
    <row r="9" spans="1:5" x14ac:dyDescent="0.25">
      <c r="A9" t="s">
        <v>455</v>
      </c>
    </row>
    <row r="10" spans="1:5" x14ac:dyDescent="0.25">
      <c r="A10" t="s">
        <v>456</v>
      </c>
    </row>
    <row r="11" spans="1:5" x14ac:dyDescent="0.25">
      <c r="A11" t="s">
        <v>457</v>
      </c>
    </row>
    <row r="12" spans="1:5" x14ac:dyDescent="0.25">
      <c r="A12" t="s">
        <v>458</v>
      </c>
    </row>
    <row r="13" spans="1:5" x14ac:dyDescent="0.25">
      <c r="A13" t="s">
        <v>459</v>
      </c>
    </row>
    <row r="14" spans="1:5" x14ac:dyDescent="0.25">
      <c r="A14" t="s">
        <v>460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MENU</vt:lpstr>
      <vt:lpstr>PhieuDiem</vt:lpstr>
      <vt:lpstr>PhieuDiemTong</vt:lpstr>
      <vt:lpstr>Chấm điểm</vt:lpstr>
      <vt:lpstr>Note</vt:lpstr>
      <vt:lpstr>Print</vt:lpstr>
      <vt:lpstr>Background</vt:lpstr>
      <vt:lpstr>Smart_Art</vt:lpstr>
      <vt:lpstr>Picture_Shape</vt:lpstr>
      <vt:lpstr>Transitions</vt:lpstr>
      <vt:lpstr>Animations</vt:lpstr>
      <vt:lpstr>Section</vt:lpstr>
      <vt:lpstr>Properties</vt:lpstr>
      <vt:lpstr>Format</vt:lpstr>
      <vt:lpstr>Zoom</vt:lpstr>
      <vt:lpstr>Chart</vt:lpstr>
      <vt:lpstr>Table</vt:lpstr>
      <vt:lpstr>3D_Model</vt:lpstr>
      <vt:lpstr>Link</vt:lpstr>
      <vt:lpstr>Media</vt:lpstr>
      <vt:lpstr>Header_Footer</vt:lpstr>
      <vt:lpstr>Sheet1</vt:lpstr>
      <vt:lpstr>PhieuDiem!Print_Area</vt:lpstr>
      <vt:lpstr>PhieuDiemTong!Print_Titles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Dương Mạnh Quân</dc:creator>
  <cp:lastModifiedBy>Dương Mạnh Quân</cp:lastModifiedBy>
  <cp:lastPrinted>2026-09-29T08:39:28Z</cp:lastPrinted>
  <dcterms:created xsi:type="dcterms:W3CDTF">2025-12-31T01:15:06Z</dcterms:created>
  <dcterms:modified xsi:type="dcterms:W3CDTF">2026-09-29T08:46:15Z</dcterms:modified>
</cp:coreProperties>
</file>